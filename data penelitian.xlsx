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35" i="1" l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</calcChain>
</file>

<file path=xl/sharedStrings.xml><?xml version="1.0" encoding="utf-8"?>
<sst xmlns="http://schemas.openxmlformats.org/spreadsheetml/2006/main" count="546" uniqueCount="515">
  <si>
    <t>Kabupaten/Kota</t>
  </si>
  <si>
    <t>Y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</si>
  <si>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</si>
  <si>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</si>
  <si>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</si>
  <si>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</si>
  <si>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</si>
  <si>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</si>
  <si>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</si>
  <si>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</si>
  <si>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</si>
  <si>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</si>
  <si>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</si>
  <si>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</si>
  <si>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</si>
  <si>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</si>
  <si>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</si>
  <si>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</si>
  <si>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</si>
  <si>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</si>
  <si>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</si>
  <si>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</si>
  <si>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</si>
  <si>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</si>
  <si>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</si>
  <si>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</si>
  <si>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</si>
  <si>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</si>
  <si>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</si>
  <si>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</si>
  <si>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</si>
  <si>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</si>
  <si>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</si>
  <si>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</si>
  <si>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</si>
  <si>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</si>
  <si>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Nias</t>
  </si>
  <si>
    <t>0.01</t>
  </si>
  <si>
    <t>87.36</t>
  </si>
  <si>
    <t>24.9</t>
  </si>
  <si>
    <t>1.25</t>
  </si>
  <si>
    <t>13.04</t>
  </si>
  <si>
    <t>2748.38</t>
  </si>
  <si>
    <t>3.06</t>
  </si>
  <si>
    <t>16.00</t>
  </si>
  <si>
    <t>88.23</t>
  </si>
  <si>
    <t>2.81</t>
  </si>
  <si>
    <t>84.5</t>
  </si>
  <si>
    <t>63.69</t>
  </si>
  <si>
    <t>28.17</t>
  </si>
  <si>
    <t>193.46</t>
  </si>
  <si>
    <t>51.59</t>
  </si>
  <si>
    <t>Mandailing Natal</t>
  </si>
  <si>
    <t>78.95</t>
  </si>
  <si>
    <t>34.2</t>
  </si>
  <si>
    <t>9.04</t>
  </si>
  <si>
    <t>13.85</t>
  </si>
  <si>
    <t>10001.97</t>
  </si>
  <si>
    <t>4.34</t>
  </si>
  <si>
    <t>8.92</t>
  </si>
  <si>
    <t>7.64</t>
  </si>
  <si>
    <t>71.15</t>
  </si>
  <si>
    <t>68.05</t>
  </si>
  <si>
    <t>39.64</t>
  </si>
  <si>
    <t>74.06</t>
  </si>
  <si>
    <t>75.48</t>
  </si>
  <si>
    <t>Tapanuli Selatan</t>
  </si>
  <si>
    <t>67.14</t>
  </si>
  <si>
    <t>39.4</t>
  </si>
  <si>
    <t>5.80</t>
  </si>
  <si>
    <t>13.37</t>
  </si>
  <si>
    <t>10516.04</t>
  </si>
  <si>
    <t>4.78</t>
  </si>
  <si>
    <t>8.07</t>
  </si>
  <si>
    <t>60.7</t>
  </si>
  <si>
    <t>3.65</t>
  </si>
  <si>
    <t>74.53</t>
  </si>
  <si>
    <t>70.92</t>
  </si>
  <si>
    <t>52.9</t>
  </si>
  <si>
    <t>72.24</t>
  </si>
  <si>
    <t>73.17</t>
  </si>
  <si>
    <t>Tapanuli Tengah</t>
  </si>
  <si>
    <t>0.02</t>
  </si>
  <si>
    <t>74.72</t>
  </si>
  <si>
    <t>30.5</t>
  </si>
  <si>
    <t>3.18</t>
  </si>
  <si>
    <t>13.24</t>
  </si>
  <si>
    <t>7447.83</t>
  </si>
  <si>
    <t>4.18</t>
  </si>
  <si>
    <t>11.71</t>
  </si>
  <si>
    <t>70.83</t>
  </si>
  <si>
    <t>7.97</t>
  </si>
  <si>
    <t>76.51</t>
  </si>
  <si>
    <t>70.31</t>
  </si>
  <si>
    <t>58.52</t>
  </si>
  <si>
    <t>160.63</t>
  </si>
  <si>
    <t>79.28</t>
  </si>
  <si>
    <t>Tapanuli Utara</t>
  </si>
  <si>
    <t>60.03</t>
  </si>
  <si>
    <t>27.4</t>
  </si>
  <si>
    <t>5.38</t>
  </si>
  <si>
    <t>13.72</t>
  </si>
  <si>
    <t>6315.72</t>
  </si>
  <si>
    <t>4.25</t>
  </si>
  <si>
    <t>8.93</t>
  </si>
  <si>
    <t>58.04</t>
  </si>
  <si>
    <t>1.07</t>
  </si>
  <si>
    <t>81.07</t>
  </si>
  <si>
    <t>74.14</t>
  </si>
  <si>
    <t>87.76</t>
  </si>
  <si>
    <t>83.14</t>
  </si>
  <si>
    <t>92.89</t>
  </si>
  <si>
    <t>Toba</t>
  </si>
  <si>
    <t>78.33</t>
  </si>
  <si>
    <t>24.8</t>
  </si>
  <si>
    <t>3.16</t>
  </si>
  <si>
    <t>13.58</t>
  </si>
  <si>
    <t>5888.38</t>
  </si>
  <si>
    <t>4.24</t>
  </si>
  <si>
    <t>8.89</t>
  </si>
  <si>
    <t>98.4</t>
  </si>
  <si>
    <t>1.39</t>
  </si>
  <si>
    <t>79.04</t>
  </si>
  <si>
    <t>75.96</t>
  </si>
  <si>
    <t>89.37</t>
  </si>
  <si>
    <t>95.85</t>
  </si>
  <si>
    <t>96.05</t>
  </si>
  <si>
    <t>Labuhanbatu</t>
  </si>
  <si>
    <t>97.34</t>
  </si>
  <si>
    <t>23.9</t>
  </si>
  <si>
    <t>3.83</t>
  </si>
  <si>
    <t>12.95</t>
  </si>
  <si>
    <t>25305.99</t>
  </si>
  <si>
    <t>4.80</t>
  </si>
  <si>
    <t>8.26</t>
  </si>
  <si>
    <t>95.94</t>
  </si>
  <si>
    <t>6.9</t>
  </si>
  <si>
    <t>63.51</t>
  </si>
  <si>
    <t>72.92</t>
  </si>
  <si>
    <t>80.36</t>
  </si>
  <si>
    <t>183.37</t>
  </si>
  <si>
    <t>93.68</t>
  </si>
  <si>
    <t>Asahan</t>
  </si>
  <si>
    <t>64.94</t>
  </si>
  <si>
    <t>15.3</t>
  </si>
  <si>
    <t>5.16</t>
  </si>
  <si>
    <t>12.63</t>
  </si>
  <si>
    <t>28550.81</t>
  </si>
  <si>
    <t>4.66</t>
  </si>
  <si>
    <t>8.64</t>
  </si>
  <si>
    <t>73.35</t>
  </si>
  <si>
    <t>6.26</t>
  </si>
  <si>
    <t>65.68</t>
  </si>
  <si>
    <t>71.13</t>
  </si>
  <si>
    <t>89.33</t>
  </si>
  <si>
    <t>210.73</t>
  </si>
  <si>
    <t>92.92</t>
  </si>
  <si>
    <t>Simalungun</t>
  </si>
  <si>
    <t>98.97</t>
  </si>
  <si>
    <t>17.4</t>
  </si>
  <si>
    <t>6.35</t>
  </si>
  <si>
    <t>12.81</t>
  </si>
  <si>
    <t>29990.35</t>
  </si>
  <si>
    <t>4.68</t>
  </si>
  <si>
    <t>85.92</t>
  </si>
  <si>
    <t>5.51</t>
  </si>
  <si>
    <t>69.91</t>
  </si>
  <si>
    <t>73.77</t>
  </si>
  <si>
    <t>91.25</t>
  </si>
  <si>
    <t>221.85</t>
  </si>
  <si>
    <t>98.66</t>
  </si>
  <si>
    <t>Dairi</t>
  </si>
  <si>
    <t>82.68</t>
  </si>
  <si>
    <t>28.6</t>
  </si>
  <si>
    <t>2.88</t>
  </si>
  <si>
    <t>6921.48</t>
  </si>
  <si>
    <t>4.21</t>
  </si>
  <si>
    <t>7.88</t>
  </si>
  <si>
    <t>84.36</t>
  </si>
  <si>
    <t>0.88</t>
  </si>
  <si>
    <t>85.01</t>
  </si>
  <si>
    <t>72.56</t>
  </si>
  <si>
    <t>94.14</t>
  </si>
  <si>
    <t>150.82</t>
  </si>
  <si>
    <t>96.68</t>
  </si>
  <si>
    <t>Karo</t>
  </si>
  <si>
    <t>94.66</t>
  </si>
  <si>
    <t>3.05</t>
  </si>
  <si>
    <t>15197.52</t>
  </si>
  <si>
    <t>4.22</t>
  </si>
  <si>
    <t>8.17</t>
  </si>
  <si>
    <t>94.46</t>
  </si>
  <si>
    <t>2.71</t>
  </si>
  <si>
    <t>85.11</t>
  </si>
  <si>
    <t>75.36</t>
  </si>
  <si>
    <t>85.35</t>
  </si>
  <si>
    <t>187.88</t>
  </si>
  <si>
    <t>91.54</t>
  </si>
  <si>
    <t>Deli Serdang</t>
  </si>
  <si>
    <t>0.11</t>
  </si>
  <si>
    <t>94.05</t>
  </si>
  <si>
    <t>13.9</t>
  </si>
  <si>
    <t>3.56</t>
  </si>
  <si>
    <t>13.38</t>
  </si>
  <si>
    <t>75568.66</t>
  </si>
  <si>
    <t>4.70</t>
  </si>
  <si>
    <t>3.62</t>
  </si>
  <si>
    <t>67.76</t>
  </si>
  <si>
    <t>8.79</t>
  </si>
  <si>
    <t>66.84</t>
  </si>
  <si>
    <t>76.19</t>
  </si>
  <si>
    <t>91.13</t>
  </si>
  <si>
    <t>757.95</t>
  </si>
  <si>
    <t>97.38</t>
  </si>
  <si>
    <t>Langkat</t>
  </si>
  <si>
    <t>0.05</t>
  </si>
  <si>
    <t>96.47</t>
  </si>
  <si>
    <t>18.6</t>
  </si>
  <si>
    <t>8.47</t>
  </si>
  <si>
    <t>13.26</t>
  </si>
  <si>
    <t>31665.48</t>
  </si>
  <si>
    <t>4.69</t>
  </si>
  <si>
    <t>9.49</t>
  </si>
  <si>
    <t>83.58</t>
  </si>
  <si>
    <t>6.88</t>
  </si>
  <si>
    <t>71.51</t>
  </si>
  <si>
    <t>71.86</t>
  </si>
  <si>
    <t>86.5</t>
  </si>
  <si>
    <t>169.32</t>
  </si>
  <si>
    <t>92.66</t>
  </si>
  <si>
    <t>Nias Selatan</t>
  </si>
  <si>
    <t>96.87</t>
  </si>
  <si>
    <t>27.2</t>
  </si>
  <si>
    <t>3.49</t>
  </si>
  <si>
    <t>12.48</t>
  </si>
  <si>
    <t>4466.09</t>
  </si>
  <si>
    <t>3.08</t>
  </si>
  <si>
    <t>16.48</t>
  </si>
  <si>
    <t>91.65</t>
  </si>
  <si>
    <t>3.69</t>
  </si>
  <si>
    <t>78.54</t>
  </si>
  <si>
    <t>63.17</t>
  </si>
  <si>
    <t>12.23</t>
  </si>
  <si>
    <t>146.23</t>
  </si>
  <si>
    <t>66.71</t>
  </si>
  <si>
    <t>Humbang Hasundutan</t>
  </si>
  <si>
    <t>85.08</t>
  </si>
  <si>
    <t>29.6</t>
  </si>
  <si>
    <t>3.25</t>
  </si>
  <si>
    <t>13.31</t>
  </si>
  <si>
    <t>4396.56</t>
  </si>
  <si>
    <t>8.86</t>
  </si>
  <si>
    <t>81.81</t>
  </si>
  <si>
    <t>85.83</t>
  </si>
  <si>
    <t>70.32</t>
  </si>
  <si>
    <t>93.9</t>
  </si>
  <si>
    <t>86.03</t>
  </si>
  <si>
    <t>90.51</t>
  </si>
  <si>
    <t>Pappak Barat</t>
  </si>
  <si>
    <t>72.69</t>
  </si>
  <si>
    <t>30.8</t>
  </si>
  <si>
    <t>1.88</t>
  </si>
  <si>
    <t>13.89</t>
  </si>
  <si>
    <t>909.62</t>
  </si>
  <si>
    <t>4.27</t>
  </si>
  <si>
    <t>8.66</t>
  </si>
  <si>
    <t>78.18</t>
  </si>
  <si>
    <t>86.2</t>
  </si>
  <si>
    <t>68.85</t>
  </si>
  <si>
    <t>88.98</t>
  </si>
  <si>
    <t>39.7</t>
  </si>
  <si>
    <t>81.87</t>
  </si>
  <si>
    <t>Samosir</t>
  </si>
  <si>
    <t>76.09</t>
  </si>
  <si>
    <t>26.3</t>
  </si>
  <si>
    <t>2.55</t>
  </si>
  <si>
    <t>13.5</t>
  </si>
  <si>
    <t>3303.86</t>
  </si>
  <si>
    <t>4.48</t>
  </si>
  <si>
    <t>11.77</t>
  </si>
  <si>
    <t>71.22</t>
  </si>
  <si>
    <t>1.16</t>
  </si>
  <si>
    <t>83.57</t>
  </si>
  <si>
    <t>71.67</t>
  </si>
  <si>
    <t>89.48</t>
  </si>
  <si>
    <t>76.05</t>
  </si>
  <si>
    <t>74.70</t>
  </si>
  <si>
    <t>Serdang Bedagai</t>
  </si>
  <si>
    <t>91.36</t>
  </si>
  <si>
    <t>21.1</t>
  </si>
  <si>
    <t>2.69</t>
  </si>
  <si>
    <t>20749.07</t>
  </si>
  <si>
    <t>4.46</t>
  </si>
  <si>
    <t>7.82</t>
  </si>
  <si>
    <t>100.85</t>
  </si>
  <si>
    <t>4.98</t>
  </si>
  <si>
    <t>67.59</t>
  </si>
  <si>
    <t>71.21</t>
  </si>
  <si>
    <t>91.98</t>
  </si>
  <si>
    <t>342.75</t>
  </si>
  <si>
    <t>99.32</t>
  </si>
  <si>
    <t>Batu Bara</t>
  </si>
  <si>
    <t>0.06</t>
  </si>
  <si>
    <t>97.48</t>
  </si>
  <si>
    <t>21.7</t>
  </si>
  <si>
    <t>1.23</t>
  </si>
  <si>
    <t>12.93</t>
  </si>
  <si>
    <t>25482.21</t>
  </si>
  <si>
    <t>4.07</t>
  </si>
  <si>
    <t>11.53</t>
  </si>
  <si>
    <t>96.92</t>
  </si>
  <si>
    <t>6.21</t>
  </si>
  <si>
    <t>73.5</t>
  </si>
  <si>
    <t>69.51</t>
  </si>
  <si>
    <t>88.25</t>
  </si>
  <si>
    <t>468.82</t>
  </si>
  <si>
    <t>96.96</t>
  </si>
  <si>
    <t>Padang Lawas Utara</t>
  </si>
  <si>
    <t>79.31</t>
  </si>
  <si>
    <t>29.2</t>
  </si>
  <si>
    <t>5.45</t>
  </si>
  <si>
    <t>13.23</t>
  </si>
  <si>
    <t>8947.63</t>
  </si>
  <si>
    <t>4.12</t>
  </si>
  <si>
    <t>8.94</t>
  </si>
  <si>
    <t>75.87</t>
  </si>
  <si>
    <t>4.32</t>
  </si>
  <si>
    <t>70.33</t>
  </si>
  <si>
    <t>70.93</t>
  </si>
  <si>
    <t>71.03</t>
  </si>
  <si>
    <t>68.83</t>
  </si>
  <si>
    <t>82.13</t>
  </si>
  <si>
    <t xml:space="preserve">Padang Lawas </t>
  </si>
  <si>
    <t>60.23</t>
  </si>
  <si>
    <t>35.8</t>
  </si>
  <si>
    <t>5.40</t>
  </si>
  <si>
    <t>13.41</t>
  </si>
  <si>
    <t>8747.96</t>
  </si>
  <si>
    <t>4.61</t>
  </si>
  <si>
    <t>8.05</t>
  </si>
  <si>
    <t>50.04</t>
  </si>
  <si>
    <t>5.9</t>
  </si>
  <si>
    <t>75.1</t>
  </si>
  <si>
    <t>69.58</t>
  </si>
  <si>
    <t>65.52</t>
  </si>
  <si>
    <t>68.28</t>
  </si>
  <si>
    <t>83.67</t>
  </si>
  <si>
    <t>Labuhanbatu Selatan</t>
  </si>
  <si>
    <t>91.39</t>
  </si>
  <si>
    <t>26.4</t>
  </si>
  <si>
    <t>13.12</t>
  </si>
  <si>
    <t>20549.86</t>
  </si>
  <si>
    <t>4.74</t>
  </si>
  <si>
    <t>8.09</t>
  </si>
  <si>
    <t>85.94</t>
  </si>
  <si>
    <t>3.15</t>
  </si>
  <si>
    <t>66.76</t>
  </si>
  <si>
    <t>72.16</t>
  </si>
  <si>
    <t>85.13</t>
  </si>
  <si>
    <t>100.91</t>
  </si>
  <si>
    <t>91.3</t>
  </si>
  <si>
    <t>Labuhanbuta Utara</t>
  </si>
  <si>
    <t>91.76</t>
  </si>
  <si>
    <t>7.3</t>
  </si>
  <si>
    <t>5.09</t>
  </si>
  <si>
    <t>13.29</t>
  </si>
  <si>
    <t>18799.03</t>
  </si>
  <si>
    <t>4.62</t>
  </si>
  <si>
    <t>9.09</t>
  </si>
  <si>
    <t>3.75</t>
  </si>
  <si>
    <t>65.31</t>
  </si>
  <si>
    <t>72.77</t>
  </si>
  <si>
    <t>81.82</t>
  </si>
  <si>
    <t>105.31</t>
  </si>
  <si>
    <t>93.04</t>
  </si>
  <si>
    <t>Nias Utara</t>
  </si>
  <si>
    <t>61.05</t>
  </si>
  <si>
    <t>11.9</t>
  </si>
  <si>
    <t>1.71</t>
  </si>
  <si>
    <t>13.06</t>
  </si>
  <si>
    <t>2490.49</t>
  </si>
  <si>
    <t>3.03</t>
  </si>
  <si>
    <t>23.40</t>
  </si>
  <si>
    <t>78.03</t>
  </si>
  <si>
    <t>2.59</t>
  </si>
  <si>
    <t>77.75</t>
  </si>
  <si>
    <t>63.75</t>
  </si>
  <si>
    <t>41.19</t>
  </si>
  <si>
    <t>116.19</t>
  </si>
  <si>
    <t>69.77</t>
  </si>
  <si>
    <t>Nias Barat</t>
  </si>
  <si>
    <t>67.75</t>
  </si>
  <si>
    <t>29.4</t>
  </si>
  <si>
    <t>0.64</t>
  </si>
  <si>
    <t>12.97</t>
  </si>
  <si>
    <t>1324.38</t>
  </si>
  <si>
    <t>3.01</t>
  </si>
  <si>
    <t>24.75</t>
  </si>
  <si>
    <t>83.7</t>
  </si>
  <si>
    <t>84.63</t>
  </si>
  <si>
    <t>62.93</t>
  </si>
  <si>
    <t>39.95</t>
  </si>
  <si>
    <t>156.71</t>
  </si>
  <si>
    <t>70.74</t>
  </si>
  <si>
    <t>Sibolga</t>
  </si>
  <si>
    <t>58.96</t>
  </si>
  <si>
    <t>14.5</t>
  </si>
  <si>
    <t>13.3</t>
  </si>
  <si>
    <t>3745.07</t>
  </si>
  <si>
    <t>4.15</t>
  </si>
  <si>
    <t>11.47</t>
  </si>
  <si>
    <t>50.36</t>
  </si>
  <si>
    <t>7.05</t>
  </si>
  <si>
    <t>65.85</t>
  </si>
  <si>
    <t>74.74</t>
  </si>
  <si>
    <t>42.05</t>
  </si>
  <si>
    <t>4438.41</t>
  </si>
  <si>
    <t>97.69</t>
  </si>
  <si>
    <t>Tanjungbalai</t>
  </si>
  <si>
    <t>33.42</t>
  </si>
  <si>
    <t>26.9</t>
  </si>
  <si>
    <t>0.08</t>
  </si>
  <si>
    <t>12.9</t>
  </si>
  <si>
    <t>6131.04</t>
  </si>
  <si>
    <t>3.94</t>
  </si>
  <si>
    <t>12.45</t>
  </si>
  <si>
    <t>45.16</t>
  </si>
  <si>
    <t>70.77</t>
  </si>
  <si>
    <t>69.86</t>
  </si>
  <si>
    <t>93.51</t>
  </si>
  <si>
    <t>2992.31</t>
  </si>
  <si>
    <t>87.59</t>
  </si>
  <si>
    <t>Pematangsiantar</t>
  </si>
  <si>
    <t>76.95</t>
  </si>
  <si>
    <t>14.3</t>
  </si>
  <si>
    <t>0.1</t>
  </si>
  <si>
    <t>14.59</t>
  </si>
  <si>
    <t>9878.87</t>
  </si>
  <si>
    <t>3.47</t>
  </si>
  <si>
    <t>77.1</t>
  </si>
  <si>
    <t>9.36</t>
  </si>
  <si>
    <t>65.27</t>
  </si>
  <si>
    <t>79.70</t>
  </si>
  <si>
    <t>92.33</t>
  </si>
  <si>
    <t>3609.8</t>
  </si>
  <si>
    <t>99.84</t>
  </si>
  <si>
    <t>Tebing Tinggi</t>
  </si>
  <si>
    <t>0.03</t>
  </si>
  <si>
    <t>81.79</t>
  </si>
  <si>
    <t>19.6</t>
  </si>
  <si>
    <t>12.91</t>
  </si>
  <si>
    <t>4186.31</t>
  </si>
  <si>
    <t>4.01</t>
  </si>
  <si>
    <t>9.59</t>
  </si>
  <si>
    <t>82.11</t>
  </si>
  <si>
    <t>6.39</t>
  </si>
  <si>
    <t>77.26</t>
  </si>
  <si>
    <t>76.17</t>
  </si>
  <si>
    <t>90.59</t>
  </si>
  <si>
    <t>4543.44</t>
  </si>
  <si>
    <t>99.71</t>
  </si>
  <si>
    <t>Medan</t>
  </si>
  <si>
    <t>0.52</t>
  </si>
  <si>
    <t>85.26</t>
  </si>
  <si>
    <t>15.4</t>
  </si>
  <si>
    <t>0.39</t>
  </si>
  <si>
    <t>14.77</t>
  </si>
  <si>
    <t>165120.01</t>
  </si>
  <si>
    <t>4.71</t>
  </si>
  <si>
    <t>82.31</t>
  </si>
  <si>
    <t>62.23</t>
  </si>
  <si>
    <t>81.76</t>
  </si>
  <si>
    <t>92.18</t>
  </si>
  <si>
    <t>8865.91</t>
  </si>
  <si>
    <t>98.53</t>
  </si>
  <si>
    <t>Binjai</t>
  </si>
  <si>
    <t>74.96</t>
  </si>
  <si>
    <t>18.7</t>
  </si>
  <si>
    <t>0.13</t>
  </si>
  <si>
    <t>13.87</t>
  </si>
  <si>
    <t>8503.58</t>
  </si>
  <si>
    <t>5.10</t>
  </si>
  <si>
    <t>66.09</t>
  </si>
  <si>
    <t>6.36</t>
  </si>
  <si>
    <t>58.61</t>
  </si>
  <si>
    <t>95.53</t>
  </si>
  <si>
    <t>3199.41</t>
  </si>
  <si>
    <t>98.79</t>
  </si>
  <si>
    <t>Padang Sidempuan</t>
  </si>
  <si>
    <t>81.48</t>
  </si>
  <si>
    <t>28.8</t>
  </si>
  <si>
    <t>0.22</t>
  </si>
  <si>
    <t>14.58</t>
  </si>
  <si>
    <t>4554.02</t>
  </si>
  <si>
    <t>4.77</t>
  </si>
  <si>
    <t>6.89</t>
  </si>
  <si>
    <t>7.76</t>
  </si>
  <si>
    <t>64.41</t>
  </si>
  <si>
    <t>45.65</t>
  </si>
  <si>
    <t>1450.48</t>
  </si>
  <si>
    <t>63.5</t>
  </si>
  <si>
    <t>Gunungsitoli</t>
  </si>
  <si>
    <t>54.72</t>
  </si>
  <si>
    <t>17.7</t>
  </si>
  <si>
    <t>0.29</t>
  </si>
  <si>
    <t>13.77</t>
  </si>
  <si>
    <t>3628.53</t>
  </si>
  <si>
    <t>3.11</t>
  </si>
  <si>
    <t>14.81</t>
  </si>
  <si>
    <t>44.12</t>
  </si>
  <si>
    <t>66.11</t>
  </si>
  <si>
    <t>70.23</t>
  </si>
  <si>
    <t>50.29</t>
  </si>
  <si>
    <t>1018.08</t>
  </si>
  <si>
    <t>77.18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</si>
</sst>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35"/>
  <sheetViews>
    <sheetView tabSelected="1" workbookViewId="0">
      <selection activeCell="E7" sqref="E7:E8"/>
    </sheetView>
  </sheetViews>
  <sheetFormatPr defaultRowHeight="15" x14ac:dyDescent="0.25"/>
  <cols>
    <col min="1" max="1" width="21" customWidth="1"/>
  </cols>
  <sheetData>
    <row r="2" spans="1:36" ht="15.7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</row>
    <row r="3" spans="1:36" ht="15.75" x14ac:dyDescent="0.25">
      <c r="A3" s="2" t="s">
        <v>36</v>
      </c>
      <c r="B3" s="3" t="s">
        <v>37</v>
      </c>
      <c r="C3" s="4" t="s">
        <v>38</v>
      </c>
      <c r="D3" s="4" t="s">
        <v>39</v>
      </c>
      <c r="E3" s="4">
        <f>185+171</f>
        <v>356</v>
      </c>
      <c r="F3" s="4">
        <f>1787+1546</f>
        <v>3333</v>
      </c>
      <c r="G3" s="4" t="s">
        <v>40</v>
      </c>
      <c r="H3" s="4">
        <v>3589</v>
      </c>
      <c r="I3" s="4">
        <v>2</v>
      </c>
      <c r="J3" s="4">
        <v>1</v>
      </c>
      <c r="K3" s="4"/>
      <c r="L3" s="4">
        <v>1</v>
      </c>
      <c r="M3" s="4">
        <v>12</v>
      </c>
      <c r="N3" s="4">
        <v>199</v>
      </c>
      <c r="O3" s="4">
        <v>68</v>
      </c>
      <c r="P3" s="4">
        <v>480</v>
      </c>
      <c r="Q3" s="4">
        <v>475</v>
      </c>
      <c r="R3" s="4">
        <v>60</v>
      </c>
      <c r="S3" s="4">
        <v>57</v>
      </c>
      <c r="T3" s="4">
        <v>60</v>
      </c>
      <c r="U3" s="4">
        <v>16</v>
      </c>
      <c r="V3" s="4">
        <v>55</v>
      </c>
      <c r="W3" s="4" t="s">
        <v>41</v>
      </c>
      <c r="X3" s="4" t="s">
        <v>42</v>
      </c>
      <c r="Y3" s="4" t="s">
        <v>43</v>
      </c>
      <c r="Z3" s="4" t="s">
        <v>44</v>
      </c>
      <c r="AA3" s="4" t="s">
        <v>45</v>
      </c>
      <c r="AB3" s="4" t="s">
        <v>46</v>
      </c>
      <c r="AC3" s="4" t="s">
        <v>47</v>
      </c>
      <c r="AD3" s="3" t="s">
        <v>48</v>
      </c>
      <c r="AE3" s="4">
        <v>170</v>
      </c>
      <c r="AF3" s="4" t="s">
        <v>49</v>
      </c>
      <c r="AG3" s="4" t="s">
        <v>50</v>
      </c>
      <c r="AH3" s="4">
        <v>37</v>
      </c>
      <c r="AI3" s="5">
        <v>10</v>
      </c>
      <c r="AJ3" s="5" t="s">
        <v>51</v>
      </c>
    </row>
    <row r="4" spans="1:36" ht="15.75" x14ac:dyDescent="0.25">
      <c r="A4" s="2" t="s">
        <v>52</v>
      </c>
      <c r="B4" s="3"/>
      <c r="C4" s="4" t="s">
        <v>53</v>
      </c>
      <c r="D4" s="4" t="s">
        <v>54</v>
      </c>
      <c r="E4" s="4">
        <f>908+712</f>
        <v>1620</v>
      </c>
      <c r="F4" s="4">
        <f>12588+10996</f>
        <v>23584</v>
      </c>
      <c r="G4" s="4" t="s">
        <v>55</v>
      </c>
      <c r="H4" s="4">
        <v>9469</v>
      </c>
      <c r="I4" s="4">
        <v>29</v>
      </c>
      <c r="J4" s="4">
        <v>3</v>
      </c>
      <c r="K4" s="4"/>
      <c r="L4" s="4">
        <v>18</v>
      </c>
      <c r="M4" s="4">
        <v>26</v>
      </c>
      <c r="N4" s="4">
        <v>503</v>
      </c>
      <c r="O4" s="4">
        <v>165</v>
      </c>
      <c r="P4" s="4">
        <v>1343</v>
      </c>
      <c r="Q4" s="4">
        <v>642</v>
      </c>
      <c r="R4" s="4">
        <v>77</v>
      </c>
      <c r="S4" s="4">
        <v>45</v>
      </c>
      <c r="T4" s="4">
        <v>97</v>
      </c>
      <c r="U4" s="4">
        <v>26</v>
      </c>
      <c r="V4" s="4">
        <v>43</v>
      </c>
      <c r="W4" s="4" t="s">
        <v>56</v>
      </c>
      <c r="X4" s="4" t="s">
        <v>57</v>
      </c>
      <c r="Y4" s="4" t="s">
        <v>58</v>
      </c>
      <c r="Z4" s="4" t="s">
        <v>59</v>
      </c>
      <c r="AA4" s="4" t="s">
        <v>53</v>
      </c>
      <c r="AB4" s="4" t="s">
        <v>60</v>
      </c>
      <c r="AC4" s="4" t="s">
        <v>61</v>
      </c>
      <c r="AD4" s="4" t="s">
        <v>62</v>
      </c>
      <c r="AE4" s="4">
        <v>407</v>
      </c>
      <c r="AF4" s="4" t="s">
        <v>63</v>
      </c>
      <c r="AG4" s="4" t="s">
        <v>64</v>
      </c>
      <c r="AH4" s="4">
        <v>56</v>
      </c>
      <c r="AI4" s="5">
        <v>23</v>
      </c>
      <c r="AJ4" s="5" t="s">
        <v>65</v>
      </c>
    </row>
    <row r="5" spans="1:36" ht="15.75" x14ac:dyDescent="0.25">
      <c r="A5" s="2" t="s">
        <v>66</v>
      </c>
      <c r="B5" s="3" t="s">
        <v>37</v>
      </c>
      <c r="C5" s="4" t="s">
        <v>67</v>
      </c>
      <c r="D5" s="4" t="s">
        <v>68</v>
      </c>
      <c r="E5" s="4">
        <f>185+158</f>
        <v>343</v>
      </c>
      <c r="F5" s="4">
        <f>2462+2197</f>
        <v>4659</v>
      </c>
      <c r="G5" s="4" t="s">
        <v>69</v>
      </c>
      <c r="H5" s="4">
        <v>5730</v>
      </c>
      <c r="I5" s="4">
        <v>3</v>
      </c>
      <c r="J5" s="4">
        <v>2</v>
      </c>
      <c r="K5" s="4"/>
      <c r="L5" s="4">
        <v>1</v>
      </c>
      <c r="M5" s="4">
        <v>16</v>
      </c>
      <c r="N5" s="4">
        <v>535</v>
      </c>
      <c r="O5" s="4">
        <v>88</v>
      </c>
      <c r="P5" s="4">
        <v>905</v>
      </c>
      <c r="Q5" s="4">
        <v>254</v>
      </c>
      <c r="R5" s="4">
        <v>31</v>
      </c>
      <c r="S5" s="4">
        <v>10</v>
      </c>
      <c r="T5" s="4">
        <v>184</v>
      </c>
      <c r="U5" s="4">
        <v>7</v>
      </c>
      <c r="V5" s="4">
        <v>18</v>
      </c>
      <c r="W5" s="4" t="s">
        <v>70</v>
      </c>
      <c r="X5" s="4" t="s">
        <v>71</v>
      </c>
      <c r="Y5" s="6" t="s">
        <v>72</v>
      </c>
      <c r="Z5" s="4" t="s">
        <v>73</v>
      </c>
      <c r="AA5" s="4" t="s">
        <v>74</v>
      </c>
      <c r="AB5" s="4" t="s">
        <v>75</v>
      </c>
      <c r="AC5" s="4" t="s">
        <v>76</v>
      </c>
      <c r="AD5" s="4" t="s">
        <v>77</v>
      </c>
      <c r="AE5" s="4">
        <v>248</v>
      </c>
      <c r="AF5" s="4" t="s">
        <v>78</v>
      </c>
      <c r="AG5" s="4" t="s">
        <v>79</v>
      </c>
      <c r="AH5" s="4">
        <v>49</v>
      </c>
      <c r="AI5" s="5">
        <v>15</v>
      </c>
      <c r="AJ5" s="5" t="s">
        <v>80</v>
      </c>
    </row>
    <row r="6" spans="1:36" ht="15.75" x14ac:dyDescent="0.25">
      <c r="A6" s="2" t="s">
        <v>81</v>
      </c>
      <c r="B6" s="3" t="s">
        <v>82</v>
      </c>
      <c r="C6" s="4" t="s">
        <v>83</v>
      </c>
      <c r="D6" s="4" t="s">
        <v>84</v>
      </c>
      <c r="E6" s="4">
        <f>583+467</f>
        <v>1050</v>
      </c>
      <c r="F6" s="4">
        <f>9461+8008</f>
        <v>17469</v>
      </c>
      <c r="G6" s="4" t="s">
        <v>85</v>
      </c>
      <c r="H6" s="4">
        <v>8528</v>
      </c>
      <c r="I6" s="4">
        <v>11</v>
      </c>
      <c r="J6" s="4">
        <v>1</v>
      </c>
      <c r="K6" s="4"/>
      <c r="L6" s="4">
        <v>17</v>
      </c>
      <c r="M6" s="4">
        <v>25</v>
      </c>
      <c r="N6" s="4">
        <v>383</v>
      </c>
      <c r="O6" s="4">
        <v>124</v>
      </c>
      <c r="P6" s="4">
        <v>892</v>
      </c>
      <c r="Q6" s="4">
        <v>569</v>
      </c>
      <c r="R6" s="4">
        <v>57</v>
      </c>
      <c r="S6" s="4">
        <v>36</v>
      </c>
      <c r="T6" s="4">
        <v>101</v>
      </c>
      <c r="U6" s="4">
        <v>52</v>
      </c>
      <c r="V6" s="4">
        <v>31</v>
      </c>
      <c r="W6" s="4" t="s">
        <v>86</v>
      </c>
      <c r="X6" s="4" t="s">
        <v>87</v>
      </c>
      <c r="Y6" s="4" t="s">
        <v>88</v>
      </c>
      <c r="Z6" s="4" t="s">
        <v>89</v>
      </c>
      <c r="AA6" s="4" t="s">
        <v>90</v>
      </c>
      <c r="AB6" s="4" t="s">
        <v>91</v>
      </c>
      <c r="AC6" s="4" t="s">
        <v>92</v>
      </c>
      <c r="AD6" s="4" t="s">
        <v>93</v>
      </c>
      <c r="AE6" s="4">
        <v>215</v>
      </c>
      <c r="AF6" s="4" t="s">
        <v>94</v>
      </c>
      <c r="AG6" s="4" t="s">
        <v>95</v>
      </c>
      <c r="AH6" s="4">
        <v>86</v>
      </c>
      <c r="AI6" s="5">
        <v>20</v>
      </c>
      <c r="AJ6" s="5" t="s">
        <v>96</v>
      </c>
    </row>
    <row r="7" spans="1:36" ht="15.75" x14ac:dyDescent="0.25">
      <c r="A7" s="2" t="s">
        <v>97</v>
      </c>
      <c r="B7" s="3"/>
      <c r="C7" s="4" t="s">
        <v>98</v>
      </c>
      <c r="D7" s="4" t="s">
        <v>99</v>
      </c>
      <c r="E7" s="4">
        <f>672+575</f>
        <v>1247</v>
      </c>
      <c r="F7" s="4">
        <f>7651+6554</f>
        <v>14205</v>
      </c>
      <c r="G7" s="4" t="s">
        <v>100</v>
      </c>
      <c r="H7" s="4">
        <v>6249</v>
      </c>
      <c r="I7" s="4">
        <v>34</v>
      </c>
      <c r="J7" s="4">
        <v>2</v>
      </c>
      <c r="K7" s="4"/>
      <c r="L7" s="4">
        <v>13</v>
      </c>
      <c r="M7" s="4">
        <v>21</v>
      </c>
      <c r="N7" s="4">
        <v>413</v>
      </c>
      <c r="O7" s="4">
        <v>110</v>
      </c>
      <c r="P7" s="4">
        <v>946</v>
      </c>
      <c r="Q7" s="4">
        <v>510</v>
      </c>
      <c r="R7" s="4">
        <v>55</v>
      </c>
      <c r="S7" s="4">
        <v>41</v>
      </c>
      <c r="T7" s="4">
        <v>55</v>
      </c>
      <c r="U7" s="4">
        <v>20</v>
      </c>
      <c r="V7" s="4">
        <v>46</v>
      </c>
      <c r="W7" s="4" t="s">
        <v>101</v>
      </c>
      <c r="X7" s="4" t="s">
        <v>102</v>
      </c>
      <c r="Y7" s="4" t="s">
        <v>103</v>
      </c>
      <c r="Z7" s="4" t="s">
        <v>104</v>
      </c>
      <c r="AA7" s="4" t="s">
        <v>105</v>
      </c>
      <c r="AB7" s="4" t="s">
        <v>106</v>
      </c>
      <c r="AC7" s="4" t="s">
        <v>107</v>
      </c>
      <c r="AD7" s="4" t="s">
        <v>108</v>
      </c>
      <c r="AE7" s="4">
        <v>252</v>
      </c>
      <c r="AF7" s="4" t="s">
        <v>109</v>
      </c>
      <c r="AG7" s="4" t="s">
        <v>110</v>
      </c>
      <c r="AH7" s="4">
        <v>54</v>
      </c>
      <c r="AI7" s="5">
        <v>15</v>
      </c>
      <c r="AJ7" s="5" t="s">
        <v>111</v>
      </c>
    </row>
    <row r="8" spans="1:36" ht="15.75" x14ac:dyDescent="0.25">
      <c r="A8" s="2" t="s">
        <v>112</v>
      </c>
      <c r="B8" s="3"/>
      <c r="C8" s="4" t="s">
        <v>113</v>
      </c>
      <c r="D8" s="4" t="s">
        <v>114</v>
      </c>
      <c r="E8" s="4">
        <f>524+377</f>
        <v>901</v>
      </c>
      <c r="F8" s="4">
        <f>5325+4452</f>
        <v>9777</v>
      </c>
      <c r="G8" s="4" t="s">
        <v>115</v>
      </c>
      <c r="H8" s="4">
        <v>3637</v>
      </c>
      <c r="I8" s="4">
        <v>16</v>
      </c>
      <c r="J8" s="4">
        <v>2</v>
      </c>
      <c r="K8" s="4"/>
      <c r="L8" s="4">
        <v>8</v>
      </c>
      <c r="M8" s="4">
        <v>19</v>
      </c>
      <c r="N8" s="4">
        <v>319</v>
      </c>
      <c r="O8" s="4">
        <v>156</v>
      </c>
      <c r="P8" s="4">
        <v>563</v>
      </c>
      <c r="Q8" s="4">
        <v>410</v>
      </c>
      <c r="R8" s="4">
        <v>82</v>
      </c>
      <c r="S8" s="4">
        <v>37</v>
      </c>
      <c r="T8" s="4">
        <v>68</v>
      </c>
      <c r="U8" s="4">
        <v>14</v>
      </c>
      <c r="V8" s="4">
        <v>48</v>
      </c>
      <c r="W8" s="4" t="s">
        <v>116</v>
      </c>
      <c r="X8" s="4" t="s">
        <v>117</v>
      </c>
      <c r="Y8" s="4" t="s">
        <v>118</v>
      </c>
      <c r="Z8" s="4" t="s">
        <v>119</v>
      </c>
      <c r="AA8" s="4" t="s">
        <v>120</v>
      </c>
      <c r="AB8" s="4" t="s">
        <v>121</v>
      </c>
      <c r="AC8" s="4" t="s">
        <v>122</v>
      </c>
      <c r="AD8" s="4" t="s">
        <v>123</v>
      </c>
      <c r="AE8" s="4">
        <v>244</v>
      </c>
      <c r="AF8" s="4" t="s">
        <v>124</v>
      </c>
      <c r="AG8" s="4" t="s">
        <v>125</v>
      </c>
      <c r="AH8" s="4">
        <v>62</v>
      </c>
      <c r="AI8" s="5">
        <v>16</v>
      </c>
      <c r="AJ8" s="5" t="s">
        <v>126</v>
      </c>
    </row>
    <row r="9" spans="1:36" ht="15.75" x14ac:dyDescent="0.25">
      <c r="A9" s="2" t="s">
        <v>127</v>
      </c>
      <c r="B9" s="3" t="s">
        <v>37</v>
      </c>
      <c r="C9" s="4" t="s">
        <v>128</v>
      </c>
      <c r="D9" s="4" t="s">
        <v>129</v>
      </c>
      <c r="E9" s="4">
        <f>843+713</f>
        <v>1556</v>
      </c>
      <c r="F9" s="4">
        <f>16294+14516</f>
        <v>30810</v>
      </c>
      <c r="G9" s="4" t="s">
        <v>130</v>
      </c>
      <c r="H9" s="4">
        <v>10325</v>
      </c>
      <c r="I9" s="4">
        <v>26</v>
      </c>
      <c r="J9" s="4">
        <v>6</v>
      </c>
      <c r="K9" s="4"/>
      <c r="L9" s="4">
        <v>45</v>
      </c>
      <c r="M9" s="4">
        <v>15</v>
      </c>
      <c r="N9" s="4">
        <v>548</v>
      </c>
      <c r="O9" s="4">
        <v>196</v>
      </c>
      <c r="P9" s="4">
        <v>998</v>
      </c>
      <c r="Q9" s="4">
        <v>769</v>
      </c>
      <c r="R9" s="4">
        <v>104</v>
      </c>
      <c r="S9" s="4">
        <v>39</v>
      </c>
      <c r="T9" s="4">
        <v>122</v>
      </c>
      <c r="U9" s="4">
        <v>18</v>
      </c>
      <c r="V9" s="4">
        <v>68</v>
      </c>
      <c r="W9" s="4" t="s">
        <v>131</v>
      </c>
      <c r="X9" s="6" t="s">
        <v>132</v>
      </c>
      <c r="Y9" s="4" t="s">
        <v>133</v>
      </c>
      <c r="Z9" s="4" t="s">
        <v>134</v>
      </c>
      <c r="AA9" s="4" t="s">
        <v>135</v>
      </c>
      <c r="AB9" s="4" t="s">
        <v>136</v>
      </c>
      <c r="AC9" s="4" t="s">
        <v>137</v>
      </c>
      <c r="AD9" s="4" t="s">
        <v>138</v>
      </c>
      <c r="AE9" s="4">
        <v>98</v>
      </c>
      <c r="AF9" s="4" t="s">
        <v>139</v>
      </c>
      <c r="AG9" s="4" t="s">
        <v>140</v>
      </c>
      <c r="AH9" s="4">
        <v>53</v>
      </c>
      <c r="AI9" s="5">
        <v>9</v>
      </c>
      <c r="AJ9" s="5" t="s">
        <v>141</v>
      </c>
    </row>
    <row r="10" spans="1:36" ht="15.75" x14ac:dyDescent="0.25">
      <c r="A10" s="2" t="s">
        <v>142</v>
      </c>
      <c r="B10" s="3"/>
      <c r="C10" s="4" t="s">
        <v>143</v>
      </c>
      <c r="D10" s="4" t="s">
        <v>144</v>
      </c>
      <c r="E10" s="4">
        <f>778+623</f>
        <v>1401</v>
      </c>
      <c r="F10" s="4">
        <f>17969+15265</f>
        <v>33234</v>
      </c>
      <c r="G10" s="4" t="s">
        <v>145</v>
      </c>
      <c r="H10" s="4">
        <v>13609</v>
      </c>
      <c r="I10" s="4">
        <v>20</v>
      </c>
      <c r="J10" s="4">
        <v>10</v>
      </c>
      <c r="K10" s="4"/>
      <c r="L10" s="4">
        <v>37</v>
      </c>
      <c r="M10" s="4">
        <v>29</v>
      </c>
      <c r="N10" s="4">
        <v>964</v>
      </c>
      <c r="O10" s="4">
        <v>247</v>
      </c>
      <c r="P10" s="4">
        <v>1035</v>
      </c>
      <c r="Q10" s="4">
        <v>727</v>
      </c>
      <c r="R10" s="4">
        <v>88</v>
      </c>
      <c r="S10" s="4">
        <v>49</v>
      </c>
      <c r="T10" s="4">
        <v>95</v>
      </c>
      <c r="U10" s="4">
        <v>34</v>
      </c>
      <c r="V10" s="4">
        <v>70</v>
      </c>
      <c r="W10" s="4" t="s">
        <v>146</v>
      </c>
      <c r="X10" s="4" t="s">
        <v>147</v>
      </c>
      <c r="Y10" s="4" t="s">
        <v>148</v>
      </c>
      <c r="Z10" s="4" t="s">
        <v>149</v>
      </c>
      <c r="AA10" s="4" t="s">
        <v>150</v>
      </c>
      <c r="AB10" s="4" t="s">
        <v>151</v>
      </c>
      <c r="AC10" s="4" t="s">
        <v>152</v>
      </c>
      <c r="AD10" s="4" t="s">
        <v>153</v>
      </c>
      <c r="AE10" s="4">
        <v>204</v>
      </c>
      <c r="AF10" s="4" t="s">
        <v>154</v>
      </c>
      <c r="AG10" s="4" t="s">
        <v>155</v>
      </c>
      <c r="AH10" s="4">
        <v>46</v>
      </c>
      <c r="AI10" s="5">
        <v>25</v>
      </c>
      <c r="AJ10" s="5" t="s">
        <v>156</v>
      </c>
    </row>
    <row r="11" spans="1:36" ht="15.75" x14ac:dyDescent="0.25">
      <c r="A11" s="2" t="s">
        <v>157</v>
      </c>
      <c r="B11" s="3" t="s">
        <v>82</v>
      </c>
      <c r="C11" s="4" t="s">
        <v>158</v>
      </c>
      <c r="D11" s="4" t="s">
        <v>159</v>
      </c>
      <c r="E11" s="4">
        <f>1420+1245</f>
        <v>2665</v>
      </c>
      <c r="F11" s="4">
        <f>17158+14661</f>
        <v>31819</v>
      </c>
      <c r="G11" s="4" t="s">
        <v>160</v>
      </c>
      <c r="H11" s="4">
        <v>14981</v>
      </c>
      <c r="I11" s="4">
        <v>242</v>
      </c>
      <c r="J11" s="4">
        <v>7</v>
      </c>
      <c r="K11" s="4"/>
      <c r="L11" s="4">
        <v>54</v>
      </c>
      <c r="M11" s="4">
        <v>46</v>
      </c>
      <c r="N11" s="4">
        <v>1335</v>
      </c>
      <c r="O11" s="4">
        <v>268</v>
      </c>
      <c r="P11" s="4">
        <v>1465</v>
      </c>
      <c r="Q11" s="4">
        <v>839</v>
      </c>
      <c r="R11" s="4">
        <v>102</v>
      </c>
      <c r="S11" s="4">
        <v>55</v>
      </c>
      <c r="T11" s="4">
        <v>92</v>
      </c>
      <c r="U11" s="4">
        <v>34</v>
      </c>
      <c r="V11" s="4">
        <v>91</v>
      </c>
      <c r="W11" s="4" t="s">
        <v>161</v>
      </c>
      <c r="X11" s="4" t="s">
        <v>162</v>
      </c>
      <c r="Y11" s="4" t="s">
        <v>163</v>
      </c>
      <c r="Z11" s="4" t="s">
        <v>134</v>
      </c>
      <c r="AA11" s="4" t="s">
        <v>164</v>
      </c>
      <c r="AB11" s="4" t="s">
        <v>165</v>
      </c>
      <c r="AC11" s="4" t="s">
        <v>166</v>
      </c>
      <c r="AD11" s="4" t="s">
        <v>167</v>
      </c>
      <c r="AE11" s="4">
        <v>413</v>
      </c>
      <c r="AF11" s="4" t="s">
        <v>168</v>
      </c>
      <c r="AG11" s="4" t="s">
        <v>169</v>
      </c>
      <c r="AH11" s="4">
        <v>54</v>
      </c>
      <c r="AI11" s="5">
        <v>32</v>
      </c>
      <c r="AJ11" s="5" t="s">
        <v>170</v>
      </c>
    </row>
    <row r="12" spans="1:36" ht="15.75" x14ac:dyDescent="0.25">
      <c r="A12" s="2" t="s">
        <v>171</v>
      </c>
      <c r="B12" s="3"/>
      <c r="C12" s="4" t="s">
        <v>172</v>
      </c>
      <c r="D12" s="4" t="s">
        <v>173</v>
      </c>
      <c r="E12" s="4">
        <f>848+696</f>
        <v>1544</v>
      </c>
      <c r="F12" s="4">
        <f>9736+7897</f>
        <v>17633</v>
      </c>
      <c r="G12" s="4" t="s">
        <v>174</v>
      </c>
      <c r="H12" s="4">
        <v>5818</v>
      </c>
      <c r="I12" s="4">
        <v>3</v>
      </c>
      <c r="J12" s="4">
        <v>1</v>
      </c>
      <c r="K12" s="4"/>
      <c r="L12" s="4">
        <v>8</v>
      </c>
      <c r="M12" s="4">
        <v>18</v>
      </c>
      <c r="N12" s="4">
        <v>506</v>
      </c>
      <c r="O12" s="4">
        <v>91</v>
      </c>
      <c r="P12" s="4">
        <v>535</v>
      </c>
      <c r="Q12" s="4">
        <v>364</v>
      </c>
      <c r="R12" s="4">
        <v>65</v>
      </c>
      <c r="S12" s="4">
        <v>40</v>
      </c>
      <c r="T12" s="4">
        <v>52</v>
      </c>
      <c r="U12" s="7">
        <v>23</v>
      </c>
      <c r="V12" s="4">
        <v>45</v>
      </c>
      <c r="W12" s="4" t="s">
        <v>86</v>
      </c>
      <c r="X12" s="4" t="s">
        <v>175</v>
      </c>
      <c r="Y12" s="4" t="s">
        <v>176</v>
      </c>
      <c r="Z12" s="4" t="s">
        <v>177</v>
      </c>
      <c r="AA12" s="4" t="s">
        <v>178</v>
      </c>
      <c r="AB12" s="4" t="s">
        <v>179</v>
      </c>
      <c r="AC12" s="4" t="s">
        <v>180</v>
      </c>
      <c r="AD12" s="4" t="s">
        <v>181</v>
      </c>
      <c r="AE12" s="4">
        <v>169</v>
      </c>
      <c r="AF12" s="4" t="s">
        <v>182</v>
      </c>
      <c r="AG12" s="4" t="s">
        <v>183</v>
      </c>
      <c r="AH12" s="4">
        <v>27</v>
      </c>
      <c r="AI12" s="5">
        <v>15</v>
      </c>
      <c r="AJ12" s="5" t="s">
        <v>184</v>
      </c>
    </row>
    <row r="13" spans="1:36" ht="15.75" x14ac:dyDescent="0.25">
      <c r="A13" s="2" t="s">
        <v>185</v>
      </c>
      <c r="B13" s="3"/>
      <c r="C13" s="4" t="s">
        <v>186</v>
      </c>
      <c r="D13" s="4" t="s">
        <v>114</v>
      </c>
      <c r="E13" s="4">
        <f>809+677</f>
        <v>1486</v>
      </c>
      <c r="F13" s="4">
        <f>9183+8053</f>
        <v>17236</v>
      </c>
      <c r="G13" s="4" t="s">
        <v>187</v>
      </c>
      <c r="H13" s="4">
        <v>8035</v>
      </c>
      <c r="I13" s="4">
        <v>31</v>
      </c>
      <c r="J13" s="4">
        <v>3</v>
      </c>
      <c r="K13" s="4">
        <v>1</v>
      </c>
      <c r="L13" s="4">
        <v>33</v>
      </c>
      <c r="M13" s="4">
        <v>19</v>
      </c>
      <c r="N13" s="4">
        <v>377</v>
      </c>
      <c r="O13" s="4">
        <v>185</v>
      </c>
      <c r="P13" s="4">
        <v>727</v>
      </c>
      <c r="Q13" s="4">
        <v>476</v>
      </c>
      <c r="R13" s="4">
        <v>98</v>
      </c>
      <c r="S13" s="4">
        <v>61</v>
      </c>
      <c r="T13" s="4">
        <v>87</v>
      </c>
      <c r="U13" s="4">
        <v>52</v>
      </c>
      <c r="V13" s="4">
        <v>59</v>
      </c>
      <c r="W13" s="4" t="s">
        <v>131</v>
      </c>
      <c r="X13" s="4" t="s">
        <v>188</v>
      </c>
      <c r="Y13" s="4" t="s">
        <v>189</v>
      </c>
      <c r="Z13" s="4" t="s">
        <v>190</v>
      </c>
      <c r="AA13" s="4" t="s">
        <v>191</v>
      </c>
      <c r="AB13" s="4" t="s">
        <v>192</v>
      </c>
      <c r="AC13" s="4" t="s">
        <v>193</v>
      </c>
      <c r="AD13" s="4" t="s">
        <v>194</v>
      </c>
      <c r="AE13" s="4">
        <v>269</v>
      </c>
      <c r="AF13" s="4" t="s">
        <v>195</v>
      </c>
      <c r="AG13" s="4" t="s">
        <v>196</v>
      </c>
      <c r="AH13" s="4">
        <v>74</v>
      </c>
      <c r="AI13" s="5">
        <v>17</v>
      </c>
      <c r="AJ13" s="5" t="s">
        <v>197</v>
      </c>
    </row>
    <row r="14" spans="1:36" ht="15.75" x14ac:dyDescent="0.25">
      <c r="A14" s="2" t="s">
        <v>198</v>
      </c>
      <c r="B14" s="3" t="s">
        <v>199</v>
      </c>
      <c r="C14" s="4" t="s">
        <v>200</v>
      </c>
      <c r="D14" s="4" t="s">
        <v>201</v>
      </c>
      <c r="E14" s="4">
        <f>2032+1711</f>
        <v>3743</v>
      </c>
      <c r="F14" s="4">
        <f>48739+41091</f>
        <v>89830</v>
      </c>
      <c r="G14" s="4" t="s">
        <v>202</v>
      </c>
      <c r="H14" s="4">
        <v>41886</v>
      </c>
      <c r="I14" s="4">
        <v>49</v>
      </c>
      <c r="J14" s="4">
        <v>19</v>
      </c>
      <c r="K14" s="4">
        <v>1</v>
      </c>
      <c r="L14" s="4">
        <v>212</v>
      </c>
      <c r="M14" s="4">
        <v>34</v>
      </c>
      <c r="N14" s="4">
        <v>1471</v>
      </c>
      <c r="O14" s="4">
        <v>730</v>
      </c>
      <c r="P14" s="4">
        <v>1899</v>
      </c>
      <c r="Q14" s="4">
        <v>1770</v>
      </c>
      <c r="R14" s="4">
        <v>330</v>
      </c>
      <c r="S14" s="4">
        <v>119</v>
      </c>
      <c r="T14" s="4">
        <v>332</v>
      </c>
      <c r="U14" s="4">
        <v>57</v>
      </c>
      <c r="V14" s="4">
        <v>248</v>
      </c>
      <c r="W14" s="4" t="s">
        <v>203</v>
      </c>
      <c r="X14" s="4" t="s">
        <v>204</v>
      </c>
      <c r="Y14" s="4" t="s">
        <v>205</v>
      </c>
      <c r="Z14" s="4" t="s">
        <v>206</v>
      </c>
      <c r="AA14" s="4" t="s">
        <v>207</v>
      </c>
      <c r="AB14" s="4" t="s">
        <v>208</v>
      </c>
      <c r="AC14" s="4" t="s">
        <v>209</v>
      </c>
      <c r="AD14" s="4" t="s">
        <v>210</v>
      </c>
      <c r="AE14" s="4">
        <v>394</v>
      </c>
      <c r="AF14" s="4" t="s">
        <v>211</v>
      </c>
      <c r="AG14" s="4" t="s">
        <v>212</v>
      </c>
      <c r="AH14" s="4">
        <v>40</v>
      </c>
      <c r="AI14" s="5">
        <v>22</v>
      </c>
      <c r="AJ14" s="5" t="s">
        <v>213</v>
      </c>
    </row>
    <row r="15" spans="1:36" ht="15.75" x14ac:dyDescent="0.25">
      <c r="A15" s="2" t="s">
        <v>214</v>
      </c>
      <c r="B15" s="3" t="s">
        <v>215</v>
      </c>
      <c r="C15" s="4" t="s">
        <v>216</v>
      </c>
      <c r="D15" s="4" t="s">
        <v>217</v>
      </c>
      <c r="E15" s="4">
        <f>296+225</f>
        <v>521</v>
      </c>
      <c r="F15" s="4">
        <f>5513+4854</f>
        <v>10367</v>
      </c>
      <c r="G15" s="4" t="s">
        <v>218</v>
      </c>
      <c r="H15" s="4">
        <v>18372</v>
      </c>
      <c r="I15" s="4"/>
      <c r="J15" s="4">
        <v>7</v>
      </c>
      <c r="K15" s="4"/>
      <c r="L15" s="4">
        <v>62</v>
      </c>
      <c r="M15" s="4">
        <v>32</v>
      </c>
      <c r="N15" s="4">
        <v>1308</v>
      </c>
      <c r="O15" s="4">
        <v>347</v>
      </c>
      <c r="P15" s="4">
        <v>1991</v>
      </c>
      <c r="Q15" s="4">
        <v>1151</v>
      </c>
      <c r="R15" s="4">
        <v>145</v>
      </c>
      <c r="S15" s="4">
        <v>48</v>
      </c>
      <c r="T15" s="4">
        <v>150</v>
      </c>
      <c r="U15" s="4">
        <v>33</v>
      </c>
      <c r="V15" s="4">
        <v>75</v>
      </c>
      <c r="W15" s="4" t="s">
        <v>219</v>
      </c>
      <c r="X15" s="4" t="s">
        <v>220</v>
      </c>
      <c r="Y15" s="4" t="s">
        <v>221</v>
      </c>
      <c r="Z15" s="4" t="s">
        <v>222</v>
      </c>
      <c r="AA15" s="4" t="s">
        <v>223</v>
      </c>
      <c r="AB15" s="4" t="s">
        <v>224</v>
      </c>
      <c r="AC15" s="4" t="s">
        <v>225</v>
      </c>
      <c r="AD15" s="4" t="s">
        <v>226</v>
      </c>
      <c r="AE15" s="4">
        <v>277</v>
      </c>
      <c r="AF15" s="4" t="s">
        <v>227</v>
      </c>
      <c r="AG15" s="4" t="s">
        <v>228</v>
      </c>
      <c r="AH15" s="4"/>
      <c r="AI15" s="5">
        <v>23</v>
      </c>
      <c r="AJ15" s="5" t="s">
        <v>229</v>
      </c>
    </row>
    <row r="16" spans="1:36" ht="15.75" x14ac:dyDescent="0.25">
      <c r="A16" s="2" t="s">
        <v>230</v>
      </c>
      <c r="B16" s="3"/>
      <c r="C16" s="4" t="s">
        <v>231</v>
      </c>
      <c r="D16" s="4" t="s">
        <v>232</v>
      </c>
      <c r="E16" s="4">
        <f>595+524</f>
        <v>1119</v>
      </c>
      <c r="F16" s="4">
        <f>7197+5880</f>
        <v>13077</v>
      </c>
      <c r="G16" s="4" t="s">
        <v>233</v>
      </c>
      <c r="H16" s="7">
        <v>7518</v>
      </c>
      <c r="I16" s="4">
        <v>96</v>
      </c>
      <c r="J16" s="4">
        <v>3</v>
      </c>
      <c r="K16" s="4"/>
      <c r="L16" s="4">
        <v>8</v>
      </c>
      <c r="M16" s="4">
        <v>36</v>
      </c>
      <c r="N16" s="4">
        <v>482</v>
      </c>
      <c r="O16" s="4">
        <v>53</v>
      </c>
      <c r="P16" s="4">
        <v>1028</v>
      </c>
      <c r="Q16" s="4">
        <v>945</v>
      </c>
      <c r="R16" s="4">
        <v>97</v>
      </c>
      <c r="S16" s="4">
        <v>30</v>
      </c>
      <c r="T16" s="4">
        <v>123</v>
      </c>
      <c r="U16" s="4">
        <v>19</v>
      </c>
      <c r="V16" s="4">
        <v>39</v>
      </c>
      <c r="W16" s="4" t="s">
        <v>234</v>
      </c>
      <c r="X16" s="4" t="s">
        <v>235</v>
      </c>
      <c r="Y16" s="4" t="s">
        <v>236</v>
      </c>
      <c r="Z16" s="4" t="s">
        <v>237</v>
      </c>
      <c r="AA16" s="4" t="s">
        <v>238</v>
      </c>
      <c r="AB16" s="4" t="s">
        <v>239</v>
      </c>
      <c r="AC16" s="4" t="s">
        <v>240</v>
      </c>
      <c r="AD16" s="4" t="s">
        <v>241</v>
      </c>
      <c r="AE16" s="4">
        <v>461</v>
      </c>
      <c r="AF16" s="4" t="s">
        <v>242</v>
      </c>
      <c r="AG16" s="4" t="s">
        <v>243</v>
      </c>
      <c r="AH16" s="4">
        <v>53</v>
      </c>
      <c r="AI16" s="5">
        <v>35</v>
      </c>
      <c r="AJ16" s="5" t="s">
        <v>244</v>
      </c>
    </row>
    <row r="17" spans="1:36" ht="15.75" x14ac:dyDescent="0.25">
      <c r="A17" s="2" t="s">
        <v>245</v>
      </c>
      <c r="B17" s="3"/>
      <c r="C17" s="4" t="s">
        <v>246</v>
      </c>
      <c r="D17" s="4" t="s">
        <v>247</v>
      </c>
      <c r="E17" s="4">
        <f>406+340</f>
        <v>746</v>
      </c>
      <c r="F17" s="4">
        <f>5249+4304</f>
        <v>9553</v>
      </c>
      <c r="G17" s="4" t="s">
        <v>248</v>
      </c>
      <c r="H17" s="4">
        <v>4278</v>
      </c>
      <c r="I17" s="4">
        <v>27</v>
      </c>
      <c r="J17" s="4">
        <v>1</v>
      </c>
      <c r="K17" s="4"/>
      <c r="L17" s="4">
        <v>6</v>
      </c>
      <c r="M17" s="4">
        <v>12</v>
      </c>
      <c r="N17" s="4">
        <v>254</v>
      </c>
      <c r="O17" s="7">
        <v>58</v>
      </c>
      <c r="P17" s="4">
        <v>351</v>
      </c>
      <c r="Q17" s="4">
        <v>270</v>
      </c>
      <c r="R17" s="4">
        <v>37</v>
      </c>
      <c r="S17" s="4">
        <v>24</v>
      </c>
      <c r="T17" s="4">
        <v>40</v>
      </c>
      <c r="U17" s="4">
        <v>13</v>
      </c>
      <c r="V17" s="4">
        <v>35</v>
      </c>
      <c r="W17" s="4" t="s">
        <v>249</v>
      </c>
      <c r="X17" s="4" t="s">
        <v>250</v>
      </c>
      <c r="Y17" s="4" t="s">
        <v>176</v>
      </c>
      <c r="Z17" s="4" t="s">
        <v>251</v>
      </c>
      <c r="AA17" s="4" t="s">
        <v>252</v>
      </c>
      <c r="AB17" s="4"/>
      <c r="AC17" s="4" t="s">
        <v>253</v>
      </c>
      <c r="AD17" s="4" t="s">
        <v>254</v>
      </c>
      <c r="AE17" s="4">
        <v>154</v>
      </c>
      <c r="AF17" s="4" t="s">
        <v>255</v>
      </c>
      <c r="AG17" s="4" t="s">
        <v>256</v>
      </c>
      <c r="AH17" s="4">
        <v>67</v>
      </c>
      <c r="AI17" s="5">
        <v>10</v>
      </c>
      <c r="AJ17" s="5" t="s">
        <v>257</v>
      </c>
    </row>
    <row r="18" spans="1:36" ht="15.75" x14ac:dyDescent="0.25">
      <c r="A18" s="2" t="s">
        <v>258</v>
      </c>
      <c r="B18" s="3"/>
      <c r="C18" s="4" t="s">
        <v>259</v>
      </c>
      <c r="D18" s="4" t="s">
        <v>260</v>
      </c>
      <c r="E18" s="4">
        <f>180+116</f>
        <v>296</v>
      </c>
      <c r="F18" s="4">
        <f>1693+1430</f>
        <v>3123</v>
      </c>
      <c r="G18" s="4" t="s">
        <v>261</v>
      </c>
      <c r="H18" s="4">
        <v>1189</v>
      </c>
      <c r="I18" s="4">
        <v>15</v>
      </c>
      <c r="J18" s="4">
        <v>1</v>
      </c>
      <c r="K18" s="4"/>
      <c r="L18" s="4">
        <v>2</v>
      </c>
      <c r="M18" s="4">
        <v>8</v>
      </c>
      <c r="N18" s="4">
        <v>91</v>
      </c>
      <c r="O18" s="4">
        <v>41</v>
      </c>
      <c r="P18" s="4">
        <v>136</v>
      </c>
      <c r="Q18" s="4">
        <v>181</v>
      </c>
      <c r="R18" s="4">
        <v>23</v>
      </c>
      <c r="S18" s="4">
        <v>15</v>
      </c>
      <c r="T18" s="4">
        <v>21</v>
      </c>
      <c r="U18" s="4">
        <v>13</v>
      </c>
      <c r="V18" s="4">
        <v>21</v>
      </c>
      <c r="W18" s="4" t="s">
        <v>262</v>
      </c>
      <c r="X18" s="4" t="s">
        <v>263</v>
      </c>
      <c r="Y18" s="4" t="s">
        <v>264</v>
      </c>
      <c r="Z18" s="4" t="s">
        <v>265</v>
      </c>
      <c r="AA18" s="4" t="s">
        <v>266</v>
      </c>
      <c r="AB18" s="4"/>
      <c r="AC18" s="4" t="s">
        <v>267</v>
      </c>
      <c r="AD18" s="4" t="s">
        <v>268</v>
      </c>
      <c r="AE18" s="4">
        <v>52</v>
      </c>
      <c r="AF18" s="4" t="s">
        <v>269</v>
      </c>
      <c r="AG18" s="4" t="s">
        <v>270</v>
      </c>
      <c r="AH18" s="4">
        <v>33</v>
      </c>
      <c r="AI18" s="5">
        <v>8</v>
      </c>
      <c r="AJ18" s="5" t="s">
        <v>271</v>
      </c>
    </row>
    <row r="19" spans="1:36" ht="15.75" x14ac:dyDescent="0.25">
      <c r="A19" s="2" t="s">
        <v>272</v>
      </c>
      <c r="B19" s="3" t="s">
        <v>37</v>
      </c>
      <c r="C19" s="4" t="s">
        <v>273</v>
      </c>
      <c r="D19" s="4" t="s">
        <v>274</v>
      </c>
      <c r="E19" s="4">
        <f>374+346</f>
        <v>720</v>
      </c>
      <c r="F19" s="4">
        <f>3855+3131</f>
        <v>6986</v>
      </c>
      <c r="G19" s="4" t="s">
        <v>275</v>
      </c>
      <c r="H19" s="4">
        <v>2468</v>
      </c>
      <c r="I19" s="4">
        <v>19</v>
      </c>
      <c r="J19" s="4">
        <v>1</v>
      </c>
      <c r="K19" s="4"/>
      <c r="L19" s="4">
        <v>10</v>
      </c>
      <c r="M19" s="4">
        <v>12</v>
      </c>
      <c r="N19" s="4">
        <v>230</v>
      </c>
      <c r="O19" s="4">
        <v>75</v>
      </c>
      <c r="P19" s="4">
        <v>324</v>
      </c>
      <c r="Q19" s="4">
        <v>208</v>
      </c>
      <c r="R19" s="4">
        <v>40</v>
      </c>
      <c r="S19" s="4">
        <v>27</v>
      </c>
      <c r="T19" s="4">
        <v>34</v>
      </c>
      <c r="U19" s="4">
        <v>20</v>
      </c>
      <c r="V19" s="4">
        <v>39</v>
      </c>
      <c r="W19" s="4" t="s">
        <v>276</v>
      </c>
      <c r="X19" s="4" t="s">
        <v>277</v>
      </c>
      <c r="Y19" s="4" t="s">
        <v>278</v>
      </c>
      <c r="Z19" s="4" t="s">
        <v>279</v>
      </c>
      <c r="AA19" s="4" t="s">
        <v>280</v>
      </c>
      <c r="AB19" s="4" t="s">
        <v>281</v>
      </c>
      <c r="AC19" s="4" t="s">
        <v>282</v>
      </c>
      <c r="AD19" s="4" t="s">
        <v>283</v>
      </c>
      <c r="AE19" s="4">
        <v>134</v>
      </c>
      <c r="AF19" s="4" t="s">
        <v>284</v>
      </c>
      <c r="AG19" s="4" t="s">
        <v>285</v>
      </c>
      <c r="AH19" s="4">
        <v>56</v>
      </c>
      <c r="AI19" s="5">
        <v>9</v>
      </c>
      <c r="AJ19" s="5" t="s">
        <v>286</v>
      </c>
    </row>
    <row r="20" spans="1:36" ht="15.75" x14ac:dyDescent="0.25">
      <c r="A20" s="2" t="s">
        <v>287</v>
      </c>
      <c r="B20" s="3" t="s">
        <v>215</v>
      </c>
      <c r="C20" s="4" t="s">
        <v>288</v>
      </c>
      <c r="D20" s="4" t="s">
        <v>289</v>
      </c>
      <c r="E20" s="4">
        <f>962+836</f>
        <v>1798</v>
      </c>
      <c r="F20" s="4">
        <f>12399+10794</f>
        <v>23193</v>
      </c>
      <c r="G20" s="4" t="s">
        <v>290</v>
      </c>
      <c r="H20" s="4">
        <v>11100</v>
      </c>
      <c r="I20" s="4">
        <v>8</v>
      </c>
      <c r="J20" s="4">
        <v>6</v>
      </c>
      <c r="K20" s="4"/>
      <c r="L20" s="4">
        <v>83</v>
      </c>
      <c r="M20" s="4">
        <v>20</v>
      </c>
      <c r="N20" s="4">
        <v>814</v>
      </c>
      <c r="O20" s="4">
        <v>213</v>
      </c>
      <c r="P20" s="4">
        <v>708</v>
      </c>
      <c r="Q20" s="4">
        <v>385</v>
      </c>
      <c r="R20" s="4">
        <v>49</v>
      </c>
      <c r="S20" s="4">
        <v>29</v>
      </c>
      <c r="T20" s="4">
        <v>61</v>
      </c>
      <c r="U20" s="4">
        <v>25</v>
      </c>
      <c r="V20" s="4">
        <v>44</v>
      </c>
      <c r="W20" s="4" t="s">
        <v>146</v>
      </c>
      <c r="X20" s="4" t="s">
        <v>291</v>
      </c>
      <c r="Y20" s="4" t="s">
        <v>292</v>
      </c>
      <c r="Z20" s="4" t="s">
        <v>293</v>
      </c>
      <c r="AA20" s="4" t="s">
        <v>294</v>
      </c>
      <c r="AB20" s="4" t="s">
        <v>295</v>
      </c>
      <c r="AC20" s="4" t="s">
        <v>296</v>
      </c>
      <c r="AD20" s="4" t="s">
        <v>297</v>
      </c>
      <c r="AE20" s="4">
        <v>243</v>
      </c>
      <c r="AF20" s="4" t="s">
        <v>298</v>
      </c>
      <c r="AG20" s="4" t="s">
        <v>299</v>
      </c>
      <c r="AH20" s="4">
        <v>26</v>
      </c>
      <c r="AI20" s="5">
        <v>17</v>
      </c>
      <c r="AJ20" s="5" t="s">
        <v>300</v>
      </c>
    </row>
    <row r="21" spans="1:36" ht="15.75" x14ac:dyDescent="0.25">
      <c r="A21" s="2" t="s">
        <v>301</v>
      </c>
      <c r="B21" s="3" t="s">
        <v>302</v>
      </c>
      <c r="C21" s="4" t="s">
        <v>303</v>
      </c>
      <c r="D21" s="4" t="s">
        <v>304</v>
      </c>
      <c r="E21" s="4">
        <f>842+736</f>
        <v>1578</v>
      </c>
      <c r="F21" s="4">
        <f>11192+9351</f>
        <v>20543</v>
      </c>
      <c r="G21" s="4" t="s">
        <v>305</v>
      </c>
      <c r="H21" s="4">
        <v>8123</v>
      </c>
      <c r="I21" s="4">
        <v>24</v>
      </c>
      <c r="J21" s="4">
        <v>3</v>
      </c>
      <c r="K21" s="4"/>
      <c r="L21" s="4">
        <v>26</v>
      </c>
      <c r="M21" s="4">
        <v>15</v>
      </c>
      <c r="N21" s="4">
        <v>529</v>
      </c>
      <c r="O21" s="4">
        <v>134</v>
      </c>
      <c r="P21" s="4">
        <v>583</v>
      </c>
      <c r="Q21" s="4">
        <v>316</v>
      </c>
      <c r="R21" s="4">
        <v>48</v>
      </c>
      <c r="S21" s="4">
        <v>27</v>
      </c>
      <c r="T21" s="4">
        <v>64</v>
      </c>
      <c r="U21" s="4">
        <v>22</v>
      </c>
      <c r="V21" s="4">
        <v>32</v>
      </c>
      <c r="W21" s="4" t="s">
        <v>306</v>
      </c>
      <c r="X21" s="4" t="s">
        <v>307</v>
      </c>
      <c r="Y21" s="4" t="s">
        <v>308</v>
      </c>
      <c r="Z21" s="4" t="s">
        <v>309</v>
      </c>
      <c r="AA21" s="4" t="s">
        <v>310</v>
      </c>
      <c r="AB21" s="4" t="s">
        <v>311</v>
      </c>
      <c r="AC21" s="4" t="s">
        <v>312</v>
      </c>
      <c r="AD21" s="4" t="s">
        <v>313</v>
      </c>
      <c r="AE21" s="4">
        <v>151</v>
      </c>
      <c r="AF21" s="4" t="s">
        <v>314</v>
      </c>
      <c r="AG21" s="4" t="s">
        <v>315</v>
      </c>
      <c r="AH21" s="4">
        <v>51</v>
      </c>
      <c r="AI21" s="5">
        <v>12</v>
      </c>
      <c r="AJ21" s="5" t="s">
        <v>316</v>
      </c>
    </row>
    <row r="22" spans="1:36" ht="15.75" x14ac:dyDescent="0.25">
      <c r="A22" s="8" t="s">
        <v>317</v>
      </c>
      <c r="B22" s="3" t="s">
        <v>37</v>
      </c>
      <c r="C22" s="4" t="s">
        <v>318</v>
      </c>
      <c r="D22" s="4" t="s">
        <v>319</v>
      </c>
      <c r="E22" s="4">
        <f>481+453</f>
        <v>934</v>
      </c>
      <c r="F22" s="4">
        <f>10282+8929</f>
        <v>19211</v>
      </c>
      <c r="G22" s="4" t="s">
        <v>320</v>
      </c>
      <c r="H22" s="4">
        <v>7317</v>
      </c>
      <c r="I22" s="4">
        <v>81</v>
      </c>
      <c r="J22" s="4">
        <v>1</v>
      </c>
      <c r="K22" s="4"/>
      <c r="L22" s="4">
        <v>17</v>
      </c>
      <c r="M22" s="4">
        <v>16</v>
      </c>
      <c r="N22" s="4">
        <v>370</v>
      </c>
      <c r="O22" s="4">
        <v>88</v>
      </c>
      <c r="P22" s="4">
        <v>823</v>
      </c>
      <c r="Q22" s="4">
        <v>269</v>
      </c>
      <c r="R22" s="4">
        <v>51</v>
      </c>
      <c r="S22" s="4">
        <v>16</v>
      </c>
      <c r="T22" s="4">
        <v>85</v>
      </c>
      <c r="U22" s="4">
        <v>12</v>
      </c>
      <c r="V22" s="4">
        <v>23</v>
      </c>
      <c r="W22" s="4" t="s">
        <v>321</v>
      </c>
      <c r="X22" s="4" t="s">
        <v>322</v>
      </c>
      <c r="Y22" s="4" t="s">
        <v>323</v>
      </c>
      <c r="Z22" s="4" t="s">
        <v>324</v>
      </c>
      <c r="AA22" s="4" t="s">
        <v>325</v>
      </c>
      <c r="AB22" s="4" t="s">
        <v>326</v>
      </c>
      <c r="AC22" s="4" t="s">
        <v>327</v>
      </c>
      <c r="AD22" s="4" t="s">
        <v>328</v>
      </c>
      <c r="AE22" s="4">
        <v>388</v>
      </c>
      <c r="AF22" s="4" t="s">
        <v>329</v>
      </c>
      <c r="AG22" s="4" t="s">
        <v>330</v>
      </c>
      <c r="AH22" s="4">
        <v>44</v>
      </c>
      <c r="AI22" s="5">
        <v>12</v>
      </c>
      <c r="AJ22" s="5" t="s">
        <v>331</v>
      </c>
    </row>
    <row r="23" spans="1:36" ht="15.75" x14ac:dyDescent="0.25">
      <c r="A23" s="8" t="s">
        <v>332</v>
      </c>
      <c r="B23" s="3" t="s">
        <v>37</v>
      </c>
      <c r="C23" s="4" t="s">
        <v>333</v>
      </c>
      <c r="D23" s="4" t="s">
        <v>334</v>
      </c>
      <c r="E23" s="4">
        <f>764+692</f>
        <v>1456</v>
      </c>
      <c r="F23" s="4">
        <f>8593+7503</f>
        <v>16096</v>
      </c>
      <c r="G23" s="4" t="s">
        <v>335</v>
      </c>
      <c r="H23" s="4">
        <v>7162</v>
      </c>
      <c r="I23" s="4">
        <v>154</v>
      </c>
      <c r="J23" s="4">
        <v>2</v>
      </c>
      <c r="K23" s="4"/>
      <c r="L23" s="4">
        <v>5</v>
      </c>
      <c r="M23" s="4">
        <v>17</v>
      </c>
      <c r="N23" s="4">
        <v>402</v>
      </c>
      <c r="O23" s="4">
        <v>128</v>
      </c>
      <c r="P23" s="4">
        <v>898</v>
      </c>
      <c r="Q23" s="4">
        <v>332</v>
      </c>
      <c r="R23" s="4">
        <v>98</v>
      </c>
      <c r="S23" s="4">
        <v>62</v>
      </c>
      <c r="T23" s="4">
        <v>93</v>
      </c>
      <c r="U23" s="4">
        <v>22</v>
      </c>
      <c r="V23" s="4">
        <v>51</v>
      </c>
      <c r="W23" s="4" t="s">
        <v>336</v>
      </c>
      <c r="X23" s="4" t="s">
        <v>337</v>
      </c>
      <c r="Y23" s="4" t="s">
        <v>338</v>
      </c>
      <c r="Z23" s="4" t="s">
        <v>339</v>
      </c>
      <c r="AA23" s="4" t="s">
        <v>340</v>
      </c>
      <c r="AB23" s="4" t="s">
        <v>341</v>
      </c>
      <c r="AC23" s="4" t="s">
        <v>342</v>
      </c>
      <c r="AD23" s="4" t="s">
        <v>343</v>
      </c>
      <c r="AE23" s="4">
        <v>304</v>
      </c>
      <c r="AF23" s="4" t="s">
        <v>344</v>
      </c>
      <c r="AG23" s="4" t="s">
        <v>345</v>
      </c>
      <c r="AH23" s="4">
        <v>75</v>
      </c>
      <c r="AI23" s="5">
        <v>17</v>
      </c>
      <c r="AJ23" s="5" t="s">
        <v>346</v>
      </c>
    </row>
    <row r="24" spans="1:36" ht="15.75" x14ac:dyDescent="0.25">
      <c r="A24" s="2" t="s">
        <v>347</v>
      </c>
      <c r="B24" s="3"/>
      <c r="C24" s="4" t="s">
        <v>348</v>
      </c>
      <c r="D24" s="4" t="s">
        <v>349</v>
      </c>
      <c r="E24" s="4">
        <f>416+405</f>
        <v>821</v>
      </c>
      <c r="F24" s="4">
        <f>7468+6706</f>
        <v>14174</v>
      </c>
      <c r="G24" s="4" t="s">
        <v>103</v>
      </c>
      <c r="H24" s="4">
        <v>7876</v>
      </c>
      <c r="I24" s="7">
        <v>3</v>
      </c>
      <c r="J24" s="4">
        <v>3</v>
      </c>
      <c r="K24" s="4"/>
      <c r="L24" s="4">
        <v>21</v>
      </c>
      <c r="M24" s="4">
        <v>17</v>
      </c>
      <c r="N24" s="4">
        <v>305</v>
      </c>
      <c r="O24" s="4">
        <v>136</v>
      </c>
      <c r="P24" s="4">
        <v>565</v>
      </c>
      <c r="Q24" s="4">
        <v>336</v>
      </c>
      <c r="R24" s="4">
        <v>64</v>
      </c>
      <c r="S24" s="4">
        <v>21</v>
      </c>
      <c r="T24" s="4">
        <v>42</v>
      </c>
      <c r="U24" s="4">
        <v>23</v>
      </c>
      <c r="V24" s="4">
        <v>34</v>
      </c>
      <c r="W24" s="4" t="s">
        <v>350</v>
      </c>
      <c r="X24" s="6" t="s">
        <v>351</v>
      </c>
      <c r="Y24" s="4" t="s">
        <v>352</v>
      </c>
      <c r="Z24" s="4" t="s">
        <v>353</v>
      </c>
      <c r="AA24" s="4" t="s">
        <v>354</v>
      </c>
      <c r="AB24" s="4" t="s">
        <v>355</v>
      </c>
      <c r="AC24" s="4" t="s">
        <v>356</v>
      </c>
      <c r="AD24" s="4" t="s">
        <v>357</v>
      </c>
      <c r="AE24" s="4">
        <v>54</v>
      </c>
      <c r="AF24" s="4" t="s">
        <v>358</v>
      </c>
      <c r="AG24" s="4" t="s">
        <v>359</v>
      </c>
      <c r="AH24" s="4">
        <v>41</v>
      </c>
      <c r="AI24" s="5">
        <v>5</v>
      </c>
      <c r="AJ24" s="5" t="s">
        <v>360</v>
      </c>
    </row>
    <row r="25" spans="1:36" ht="15.75" x14ac:dyDescent="0.25">
      <c r="A25" s="2" t="s">
        <v>361</v>
      </c>
      <c r="B25" s="3" t="s">
        <v>82</v>
      </c>
      <c r="C25" s="4" t="s">
        <v>362</v>
      </c>
      <c r="D25" s="4" t="s">
        <v>363</v>
      </c>
      <c r="E25" s="4">
        <f>791+888</f>
        <v>1679</v>
      </c>
      <c r="F25" s="4">
        <f>12340+10558</f>
        <v>22898</v>
      </c>
      <c r="G25" s="4" t="s">
        <v>364</v>
      </c>
      <c r="H25" s="4">
        <v>7537</v>
      </c>
      <c r="I25" s="4">
        <v>34</v>
      </c>
      <c r="J25" s="4">
        <v>5</v>
      </c>
      <c r="K25" s="4"/>
      <c r="L25" s="4">
        <v>4</v>
      </c>
      <c r="M25" s="4">
        <v>18</v>
      </c>
      <c r="N25" s="4">
        <v>523</v>
      </c>
      <c r="O25" s="4">
        <v>120</v>
      </c>
      <c r="P25" s="4">
        <v>841</v>
      </c>
      <c r="Q25" s="4">
        <v>608</v>
      </c>
      <c r="R25" s="4">
        <v>33</v>
      </c>
      <c r="S25" s="4">
        <v>17</v>
      </c>
      <c r="T25" s="4">
        <v>81</v>
      </c>
      <c r="U25" s="4">
        <v>19</v>
      </c>
      <c r="V25" s="4">
        <v>15</v>
      </c>
      <c r="W25" s="4" t="s">
        <v>365</v>
      </c>
      <c r="X25" s="4" t="s">
        <v>366</v>
      </c>
      <c r="Y25" s="4" t="s">
        <v>367</v>
      </c>
      <c r="Z25" s="4" t="s">
        <v>368</v>
      </c>
      <c r="AA25" s="4" t="s">
        <v>362</v>
      </c>
      <c r="AB25" s="4" t="s">
        <v>369</v>
      </c>
      <c r="AC25" s="4" t="s">
        <v>370</v>
      </c>
      <c r="AD25" s="4" t="s">
        <v>371</v>
      </c>
      <c r="AE25" s="4">
        <v>90</v>
      </c>
      <c r="AF25" s="4" t="s">
        <v>372</v>
      </c>
      <c r="AG25" s="4" t="s">
        <v>373</v>
      </c>
      <c r="AH25" s="4">
        <v>43</v>
      </c>
      <c r="AI25" s="5">
        <v>8</v>
      </c>
      <c r="AJ25" s="5" t="s">
        <v>374</v>
      </c>
    </row>
    <row r="26" spans="1:36" ht="15.75" x14ac:dyDescent="0.25">
      <c r="A26" s="2" t="s">
        <v>375</v>
      </c>
      <c r="B26" s="3"/>
      <c r="C26" s="4" t="s">
        <v>376</v>
      </c>
      <c r="D26" s="9" t="s">
        <v>377</v>
      </c>
      <c r="E26" s="4">
        <f>320+250</f>
        <v>570</v>
      </c>
      <c r="F26" s="4">
        <f>3309+2811</f>
        <v>6120</v>
      </c>
      <c r="G26" s="4" t="s">
        <v>378</v>
      </c>
      <c r="H26" s="4">
        <v>3197</v>
      </c>
      <c r="I26" s="4">
        <v>9</v>
      </c>
      <c r="J26" s="4">
        <v>1</v>
      </c>
      <c r="K26" s="4"/>
      <c r="L26" s="4">
        <v>2</v>
      </c>
      <c r="M26" s="4">
        <v>11</v>
      </c>
      <c r="N26" s="4">
        <v>199</v>
      </c>
      <c r="O26" s="4">
        <v>37</v>
      </c>
      <c r="P26" s="4">
        <v>403</v>
      </c>
      <c r="Q26" s="4">
        <v>336</v>
      </c>
      <c r="R26" s="4">
        <v>22</v>
      </c>
      <c r="S26" s="4">
        <v>26</v>
      </c>
      <c r="T26" s="4">
        <v>49</v>
      </c>
      <c r="U26" s="4">
        <v>16</v>
      </c>
      <c r="V26" s="4">
        <v>20</v>
      </c>
      <c r="W26" s="4" t="s">
        <v>379</v>
      </c>
      <c r="X26" s="4" t="s">
        <v>380</v>
      </c>
      <c r="Y26" s="4" t="s">
        <v>381</v>
      </c>
      <c r="Z26" s="4" t="s">
        <v>382</v>
      </c>
      <c r="AA26" s="4" t="s">
        <v>383</v>
      </c>
      <c r="AB26" s="4" t="s">
        <v>384</v>
      </c>
      <c r="AC26" s="4" t="s">
        <v>385</v>
      </c>
      <c r="AD26" s="4" t="s">
        <v>386</v>
      </c>
      <c r="AE26" s="4">
        <v>113</v>
      </c>
      <c r="AF26" s="4" t="s">
        <v>387</v>
      </c>
      <c r="AG26" s="4" t="s">
        <v>388</v>
      </c>
      <c r="AH26" s="4">
        <v>26</v>
      </c>
      <c r="AI26" s="5">
        <v>11</v>
      </c>
      <c r="AJ26" s="5" t="s">
        <v>389</v>
      </c>
    </row>
    <row r="27" spans="1:36" ht="15.75" x14ac:dyDescent="0.25">
      <c r="A27" s="2" t="s">
        <v>390</v>
      </c>
      <c r="B27" s="3"/>
      <c r="C27" s="4" t="s">
        <v>391</v>
      </c>
      <c r="D27" s="4" t="s">
        <v>392</v>
      </c>
      <c r="E27" s="4">
        <f>118+114</f>
        <v>232</v>
      </c>
      <c r="F27" s="4">
        <f>1124+994</f>
        <v>2118</v>
      </c>
      <c r="G27" s="4" t="s">
        <v>393</v>
      </c>
      <c r="H27" s="4">
        <v>1898</v>
      </c>
      <c r="I27" s="4">
        <v>44</v>
      </c>
      <c r="J27" s="4">
        <v>1</v>
      </c>
      <c r="K27" s="4"/>
      <c r="L27" s="4">
        <v>3</v>
      </c>
      <c r="M27" s="4">
        <v>13</v>
      </c>
      <c r="N27" s="4">
        <v>180</v>
      </c>
      <c r="O27" s="4">
        <v>36</v>
      </c>
      <c r="P27" s="4">
        <v>408</v>
      </c>
      <c r="Q27" s="4">
        <v>356</v>
      </c>
      <c r="R27" s="4">
        <v>41</v>
      </c>
      <c r="S27" s="4">
        <v>11</v>
      </c>
      <c r="T27" s="4">
        <v>45</v>
      </c>
      <c r="U27" s="4">
        <v>5</v>
      </c>
      <c r="V27" s="4">
        <v>17</v>
      </c>
      <c r="W27" s="4" t="s">
        <v>394</v>
      </c>
      <c r="X27" s="4" t="s">
        <v>395</v>
      </c>
      <c r="Y27" s="4" t="s">
        <v>396</v>
      </c>
      <c r="Z27" s="4" t="s">
        <v>397</v>
      </c>
      <c r="AA27" s="4" t="s">
        <v>398</v>
      </c>
      <c r="AB27" s="4"/>
      <c r="AC27" s="4" t="s">
        <v>399</v>
      </c>
      <c r="AD27" s="4" t="s">
        <v>400</v>
      </c>
      <c r="AE27" s="4">
        <v>105</v>
      </c>
      <c r="AF27" s="4" t="s">
        <v>401</v>
      </c>
      <c r="AG27" s="4" t="s">
        <v>402</v>
      </c>
      <c r="AH27" s="4">
        <v>32</v>
      </c>
      <c r="AI27" s="5">
        <v>8</v>
      </c>
      <c r="AJ27" s="5" t="s">
        <v>403</v>
      </c>
    </row>
    <row r="28" spans="1:36" ht="15.75" x14ac:dyDescent="0.25">
      <c r="A28" s="2" t="s">
        <v>404</v>
      </c>
      <c r="B28" s="3" t="s">
        <v>215</v>
      </c>
      <c r="C28" s="4" t="s">
        <v>405</v>
      </c>
      <c r="D28" s="4" t="s">
        <v>406</v>
      </c>
      <c r="E28" s="4">
        <f>401+332</f>
        <v>733</v>
      </c>
      <c r="F28" s="4">
        <f>2939+2524</f>
        <v>5463</v>
      </c>
      <c r="G28" s="4" t="s">
        <v>82</v>
      </c>
      <c r="H28" s="4">
        <v>1635</v>
      </c>
      <c r="I28" s="4">
        <v>20</v>
      </c>
      <c r="J28" s="4">
        <v>3</v>
      </c>
      <c r="K28" s="4"/>
      <c r="L28" s="4">
        <v>5</v>
      </c>
      <c r="M28" s="4">
        <v>5</v>
      </c>
      <c r="N28" s="4">
        <v>94</v>
      </c>
      <c r="O28" s="4">
        <v>118</v>
      </c>
      <c r="P28" s="4">
        <v>297</v>
      </c>
      <c r="Q28" s="4">
        <v>400</v>
      </c>
      <c r="R28" s="4">
        <v>57</v>
      </c>
      <c r="S28" s="4">
        <v>22</v>
      </c>
      <c r="T28" s="4">
        <v>57</v>
      </c>
      <c r="U28" s="4">
        <v>15</v>
      </c>
      <c r="V28" s="4">
        <v>55</v>
      </c>
      <c r="W28" s="4" t="s">
        <v>407</v>
      </c>
      <c r="X28" s="4" t="s">
        <v>408</v>
      </c>
      <c r="Y28" s="4" t="s">
        <v>409</v>
      </c>
      <c r="Z28" s="4" t="s">
        <v>410</v>
      </c>
      <c r="AA28" s="4" t="s">
        <v>411</v>
      </c>
      <c r="AB28" s="4" t="s">
        <v>412</v>
      </c>
      <c r="AC28" s="4" t="s">
        <v>413</v>
      </c>
      <c r="AD28" s="4" t="s">
        <v>414</v>
      </c>
      <c r="AE28" s="4">
        <v>17</v>
      </c>
      <c r="AF28" s="4" t="s">
        <v>415</v>
      </c>
      <c r="AG28" s="4" t="s">
        <v>416</v>
      </c>
      <c r="AH28" s="4">
        <v>57</v>
      </c>
      <c r="AI28" s="5">
        <v>4</v>
      </c>
      <c r="AJ28" s="5" t="s">
        <v>417</v>
      </c>
    </row>
    <row r="29" spans="1:36" ht="15.75" x14ac:dyDescent="0.25">
      <c r="A29" s="2" t="s">
        <v>418</v>
      </c>
      <c r="B29" s="3"/>
      <c r="C29" s="4" t="s">
        <v>419</v>
      </c>
      <c r="D29" s="4" t="s">
        <v>420</v>
      </c>
      <c r="E29" s="4">
        <f>237+218</f>
        <v>455</v>
      </c>
      <c r="F29" s="4">
        <f>3701+3380</f>
        <v>7081</v>
      </c>
      <c r="G29" s="4" t="s">
        <v>421</v>
      </c>
      <c r="H29" s="4">
        <v>3506</v>
      </c>
      <c r="I29" s="4">
        <v>25</v>
      </c>
      <c r="J29" s="4">
        <v>2</v>
      </c>
      <c r="K29" s="4"/>
      <c r="L29" s="4">
        <v>13</v>
      </c>
      <c r="M29" s="4">
        <v>8</v>
      </c>
      <c r="N29" s="4">
        <v>117</v>
      </c>
      <c r="O29" s="4">
        <v>82</v>
      </c>
      <c r="P29" s="4">
        <v>309</v>
      </c>
      <c r="Q29" s="4">
        <v>452</v>
      </c>
      <c r="R29" s="4">
        <v>32</v>
      </c>
      <c r="S29" s="4">
        <v>27</v>
      </c>
      <c r="T29" s="4">
        <v>32</v>
      </c>
      <c r="U29" s="4">
        <v>10</v>
      </c>
      <c r="V29" s="4">
        <v>30</v>
      </c>
      <c r="W29" s="4" t="s">
        <v>422</v>
      </c>
      <c r="X29" s="4" t="s">
        <v>423</v>
      </c>
      <c r="Y29" s="4" t="s">
        <v>424</v>
      </c>
      <c r="Z29" s="4" t="s">
        <v>425</v>
      </c>
      <c r="AA29" s="4" t="s">
        <v>426</v>
      </c>
      <c r="AB29" s="4" t="s">
        <v>367</v>
      </c>
      <c r="AC29" s="4" t="s">
        <v>427</v>
      </c>
      <c r="AD29" s="4" t="s">
        <v>428</v>
      </c>
      <c r="AE29" s="4">
        <v>31</v>
      </c>
      <c r="AF29" s="4" t="s">
        <v>429</v>
      </c>
      <c r="AG29" s="4" t="s">
        <v>430</v>
      </c>
      <c r="AH29" s="4">
        <v>13</v>
      </c>
      <c r="AI29" s="5">
        <v>6</v>
      </c>
      <c r="AJ29" s="5" t="s">
        <v>431</v>
      </c>
    </row>
    <row r="30" spans="1:36" ht="15.75" x14ac:dyDescent="0.25">
      <c r="A30" s="2" t="s">
        <v>432</v>
      </c>
      <c r="B30" s="3"/>
      <c r="C30" s="4" t="s">
        <v>433</v>
      </c>
      <c r="D30" s="4" t="s">
        <v>434</v>
      </c>
      <c r="E30" s="4">
        <f>361+287</f>
        <v>648</v>
      </c>
      <c r="F30" s="4">
        <f>4298+3444</f>
        <v>7742</v>
      </c>
      <c r="G30" s="4" t="s">
        <v>435</v>
      </c>
      <c r="H30" s="4">
        <v>3937</v>
      </c>
      <c r="I30" s="4">
        <v>15</v>
      </c>
      <c r="J30" s="4">
        <v>9</v>
      </c>
      <c r="K30" s="4">
        <v>1</v>
      </c>
      <c r="L30" s="4">
        <v>30</v>
      </c>
      <c r="M30" s="4">
        <v>19</v>
      </c>
      <c r="N30" s="4">
        <v>250</v>
      </c>
      <c r="O30" s="4">
        <v>281</v>
      </c>
      <c r="P30" s="4">
        <v>478</v>
      </c>
      <c r="Q30" s="4">
        <v>1185</v>
      </c>
      <c r="R30" s="4">
        <v>168</v>
      </c>
      <c r="S30" s="4">
        <v>58</v>
      </c>
      <c r="T30" s="4">
        <v>99</v>
      </c>
      <c r="U30" s="4">
        <v>29</v>
      </c>
      <c r="V30" s="4">
        <v>107</v>
      </c>
      <c r="W30" s="4" t="s">
        <v>436</v>
      </c>
      <c r="X30" s="4" t="s">
        <v>437</v>
      </c>
      <c r="Y30" s="4" t="s">
        <v>438</v>
      </c>
      <c r="Z30" s="4" t="s">
        <v>177</v>
      </c>
      <c r="AA30" s="4" t="s">
        <v>439</v>
      </c>
      <c r="AB30" s="4" t="s">
        <v>440</v>
      </c>
      <c r="AC30" s="4" t="s">
        <v>441</v>
      </c>
      <c r="AD30" s="4" t="s">
        <v>442</v>
      </c>
      <c r="AE30" s="4">
        <v>53</v>
      </c>
      <c r="AF30" s="4" t="s">
        <v>443</v>
      </c>
      <c r="AG30" s="4" t="s">
        <v>444</v>
      </c>
      <c r="AH30" s="4">
        <v>42</v>
      </c>
      <c r="AI30" s="5">
        <v>8</v>
      </c>
      <c r="AJ30" s="5" t="s">
        <v>445</v>
      </c>
    </row>
    <row r="31" spans="1:36" ht="15.75" x14ac:dyDescent="0.25">
      <c r="A31" s="2" t="s">
        <v>446</v>
      </c>
      <c r="B31" s="3" t="s">
        <v>447</v>
      </c>
      <c r="C31" s="4" t="s">
        <v>448</v>
      </c>
      <c r="D31" s="4" t="s">
        <v>449</v>
      </c>
      <c r="E31" s="4">
        <f>228+155</f>
        <v>383</v>
      </c>
      <c r="F31" s="4">
        <f>3636+3085</f>
        <v>6721</v>
      </c>
      <c r="G31" s="4" t="s">
        <v>215</v>
      </c>
      <c r="H31" s="4">
        <v>2813</v>
      </c>
      <c r="I31" s="4">
        <v>20</v>
      </c>
      <c r="J31" s="4">
        <v>6</v>
      </c>
      <c r="K31" s="4"/>
      <c r="L31" s="4">
        <v>18</v>
      </c>
      <c r="M31" s="4">
        <v>9</v>
      </c>
      <c r="N31" s="4">
        <v>129</v>
      </c>
      <c r="O31" s="4">
        <v>161</v>
      </c>
      <c r="P31" s="4">
        <v>368</v>
      </c>
      <c r="Q31" s="4">
        <v>536</v>
      </c>
      <c r="R31" s="4">
        <v>92</v>
      </c>
      <c r="S31" s="4">
        <v>51</v>
      </c>
      <c r="T31" s="4">
        <v>39</v>
      </c>
      <c r="U31" s="4">
        <v>36</v>
      </c>
      <c r="V31" s="4">
        <v>68</v>
      </c>
      <c r="W31" s="4" t="s">
        <v>450</v>
      </c>
      <c r="X31" s="4" t="s">
        <v>451</v>
      </c>
      <c r="Y31" s="4" t="s">
        <v>452</v>
      </c>
      <c r="Z31" s="4" t="s">
        <v>453</v>
      </c>
      <c r="AA31" s="4" t="s">
        <v>454</v>
      </c>
      <c r="AB31" s="4" t="s">
        <v>455</v>
      </c>
      <c r="AC31" s="4" t="s">
        <v>456</v>
      </c>
      <c r="AD31" s="4" t="s">
        <v>457</v>
      </c>
      <c r="AE31" s="4">
        <v>35</v>
      </c>
      <c r="AF31" s="4" t="s">
        <v>458</v>
      </c>
      <c r="AG31" s="4" t="s">
        <v>459</v>
      </c>
      <c r="AH31" s="4">
        <v>33</v>
      </c>
      <c r="AI31" s="5">
        <v>5</v>
      </c>
      <c r="AJ31" s="5" t="s">
        <v>460</v>
      </c>
    </row>
    <row r="32" spans="1:36" ht="15.75" x14ac:dyDescent="0.25">
      <c r="A32" s="2" t="s">
        <v>461</v>
      </c>
      <c r="B32" s="3" t="s">
        <v>462</v>
      </c>
      <c r="C32" s="4" t="s">
        <v>463</v>
      </c>
      <c r="D32" s="4" t="s">
        <v>464</v>
      </c>
      <c r="E32" s="4">
        <f>820+699</f>
        <v>1519</v>
      </c>
      <c r="F32" s="4">
        <f>44453+37361</f>
        <v>81814</v>
      </c>
      <c r="G32" s="4" t="s">
        <v>465</v>
      </c>
      <c r="H32" s="4">
        <v>34633</v>
      </c>
      <c r="I32" s="4">
        <v>18</v>
      </c>
      <c r="J32" s="4">
        <v>54</v>
      </c>
      <c r="K32" s="4">
        <v>14</v>
      </c>
      <c r="L32" s="4">
        <v>287</v>
      </c>
      <c r="M32" s="4">
        <v>41</v>
      </c>
      <c r="N32" s="4">
        <v>1334</v>
      </c>
      <c r="O32" s="4">
        <v>4081</v>
      </c>
      <c r="P32" s="4">
        <v>2230</v>
      </c>
      <c r="Q32" s="4">
        <v>7557</v>
      </c>
      <c r="R32" s="4">
        <v>1228</v>
      </c>
      <c r="S32" s="4">
        <v>321</v>
      </c>
      <c r="T32" s="4">
        <v>390</v>
      </c>
      <c r="U32" s="4">
        <v>242</v>
      </c>
      <c r="V32" s="4">
        <v>1260</v>
      </c>
      <c r="W32" s="4" t="s">
        <v>466</v>
      </c>
      <c r="X32" s="4" t="s">
        <v>467</v>
      </c>
      <c r="Y32" s="4" t="s">
        <v>468</v>
      </c>
      <c r="Z32" s="4" t="s">
        <v>73</v>
      </c>
      <c r="AA32" s="4" t="s">
        <v>469</v>
      </c>
      <c r="AB32" s="4" t="s">
        <v>119</v>
      </c>
      <c r="AC32" s="4" t="s">
        <v>470</v>
      </c>
      <c r="AD32" s="4" t="s">
        <v>471</v>
      </c>
      <c r="AE32" s="4">
        <v>151</v>
      </c>
      <c r="AF32" s="4" t="s">
        <v>472</v>
      </c>
      <c r="AG32" s="4" t="s">
        <v>473</v>
      </c>
      <c r="AH32" s="4">
        <v>34</v>
      </c>
      <c r="AI32" s="5">
        <v>21</v>
      </c>
      <c r="AJ32" s="5" t="s">
        <v>474</v>
      </c>
    </row>
    <row r="33" spans="1:36" ht="15.75" x14ac:dyDescent="0.25">
      <c r="A33" s="2" t="s">
        <v>475</v>
      </c>
      <c r="B33" s="3" t="s">
        <v>82</v>
      </c>
      <c r="C33" s="4" t="s">
        <v>476</v>
      </c>
      <c r="D33" s="4" t="s">
        <v>477</v>
      </c>
      <c r="E33" s="4">
        <f>344+340</f>
        <v>684</v>
      </c>
      <c r="F33" s="4">
        <f>5411+4803</f>
        <v>10214</v>
      </c>
      <c r="G33" s="4" t="s">
        <v>478</v>
      </c>
      <c r="H33" s="4">
        <v>4585</v>
      </c>
      <c r="I33" s="4">
        <v>6</v>
      </c>
      <c r="J33" s="4">
        <v>11</v>
      </c>
      <c r="K33" s="4"/>
      <c r="L33" s="4">
        <v>43</v>
      </c>
      <c r="M33" s="4">
        <v>8</v>
      </c>
      <c r="N33" s="4">
        <v>241</v>
      </c>
      <c r="O33" s="4">
        <v>311</v>
      </c>
      <c r="P33" s="4">
        <v>601</v>
      </c>
      <c r="Q33" s="4">
        <v>764</v>
      </c>
      <c r="R33" s="4">
        <v>146</v>
      </c>
      <c r="S33" s="4">
        <v>56</v>
      </c>
      <c r="T33" s="4">
        <v>116</v>
      </c>
      <c r="U33" s="4">
        <v>32</v>
      </c>
      <c r="V33" s="4">
        <v>114</v>
      </c>
      <c r="W33" s="4" t="s">
        <v>479</v>
      </c>
      <c r="X33" s="4" t="s">
        <v>480</v>
      </c>
      <c r="Y33" s="4" t="s">
        <v>88</v>
      </c>
      <c r="Z33" s="4" t="s">
        <v>481</v>
      </c>
      <c r="AA33" s="4" t="s">
        <v>482</v>
      </c>
      <c r="AB33" s="4" t="s">
        <v>483</v>
      </c>
      <c r="AC33" s="4" t="s">
        <v>484</v>
      </c>
      <c r="AD33" s="4" t="s">
        <v>433</v>
      </c>
      <c r="AE33" s="4">
        <v>37</v>
      </c>
      <c r="AF33" s="4" t="s">
        <v>485</v>
      </c>
      <c r="AG33" s="4" t="s">
        <v>486</v>
      </c>
      <c r="AH33" s="4">
        <v>102</v>
      </c>
      <c r="AI33" s="5">
        <v>5</v>
      </c>
      <c r="AJ33" s="5" t="s">
        <v>487</v>
      </c>
    </row>
    <row r="34" spans="1:36" ht="15.75" x14ac:dyDescent="0.25">
      <c r="A34" s="2" t="s">
        <v>488</v>
      </c>
      <c r="B34" s="3"/>
      <c r="C34" s="4" t="s">
        <v>489</v>
      </c>
      <c r="D34" s="4" t="s">
        <v>490</v>
      </c>
      <c r="E34" s="4">
        <f>586+527</f>
        <v>1113</v>
      </c>
      <c r="F34" s="4">
        <f>7253+6253</f>
        <v>13506</v>
      </c>
      <c r="G34" s="4" t="s">
        <v>491</v>
      </c>
      <c r="H34" s="4">
        <v>4100</v>
      </c>
      <c r="I34" s="4">
        <v>11</v>
      </c>
      <c r="J34" s="4">
        <v>4</v>
      </c>
      <c r="K34" s="4"/>
      <c r="L34" s="4">
        <v>22</v>
      </c>
      <c r="M34" s="4">
        <v>10</v>
      </c>
      <c r="N34" s="4">
        <v>144</v>
      </c>
      <c r="O34" s="4">
        <v>120</v>
      </c>
      <c r="P34" s="4">
        <v>702</v>
      </c>
      <c r="Q34" s="4">
        <v>381</v>
      </c>
      <c r="R34" s="4">
        <v>52</v>
      </c>
      <c r="S34" s="4">
        <v>17</v>
      </c>
      <c r="T34" s="4">
        <v>114</v>
      </c>
      <c r="U34" s="4">
        <v>5</v>
      </c>
      <c r="V34" s="4">
        <v>33</v>
      </c>
      <c r="W34" s="4" t="s">
        <v>492</v>
      </c>
      <c r="X34" s="4" t="s">
        <v>493</v>
      </c>
      <c r="Y34" s="4" t="s">
        <v>494</v>
      </c>
      <c r="Z34" s="4" t="s">
        <v>495</v>
      </c>
      <c r="AA34" s="4" t="s">
        <v>325</v>
      </c>
      <c r="AB34" s="4" t="s">
        <v>496</v>
      </c>
      <c r="AC34" s="4" t="s">
        <v>497</v>
      </c>
      <c r="AD34" s="4" t="s">
        <v>285</v>
      </c>
      <c r="AE34" s="4">
        <v>79</v>
      </c>
      <c r="AF34" s="4" t="s">
        <v>498</v>
      </c>
      <c r="AG34" s="4" t="s">
        <v>499</v>
      </c>
      <c r="AH34" s="4">
        <v>29</v>
      </c>
      <c r="AI34" s="5">
        <v>6</v>
      </c>
      <c r="AJ34" s="5" t="s">
        <v>500</v>
      </c>
    </row>
    <row r="35" spans="1:36" ht="15.75" x14ac:dyDescent="0.25">
      <c r="A35" s="2" t="s">
        <v>501</v>
      </c>
      <c r="B35" s="3" t="s">
        <v>37</v>
      </c>
      <c r="C35" s="4" t="s">
        <v>502</v>
      </c>
      <c r="D35" s="4" t="s">
        <v>503</v>
      </c>
      <c r="E35" s="4">
        <f>321+268</f>
        <v>589</v>
      </c>
      <c r="F35" s="4">
        <f>3354+2856</f>
        <v>6210</v>
      </c>
      <c r="G35" s="4" t="s">
        <v>504</v>
      </c>
      <c r="H35" s="4">
        <v>3000</v>
      </c>
      <c r="I35" s="4">
        <v>73</v>
      </c>
      <c r="J35" s="4">
        <v>1</v>
      </c>
      <c r="K35" s="4"/>
      <c r="L35" s="4">
        <v>4</v>
      </c>
      <c r="M35" s="4">
        <v>8</v>
      </c>
      <c r="N35" s="4">
        <v>166</v>
      </c>
      <c r="O35" s="4">
        <v>64</v>
      </c>
      <c r="P35" s="4">
        <v>444</v>
      </c>
      <c r="Q35" s="4">
        <v>231</v>
      </c>
      <c r="R35" s="4">
        <v>37</v>
      </c>
      <c r="S35" s="4">
        <v>14</v>
      </c>
      <c r="T35" s="4">
        <v>37</v>
      </c>
      <c r="U35" s="4">
        <v>5</v>
      </c>
      <c r="V35" s="4">
        <v>19</v>
      </c>
      <c r="W35" s="4" t="s">
        <v>505</v>
      </c>
      <c r="X35" s="4" t="s">
        <v>506</v>
      </c>
      <c r="Y35" s="4" t="s">
        <v>507</v>
      </c>
      <c r="Z35" s="4" t="s">
        <v>508</v>
      </c>
      <c r="AA35" s="4" t="s">
        <v>509</v>
      </c>
      <c r="AB35" s="4" t="s">
        <v>75</v>
      </c>
      <c r="AC35" s="4" t="s">
        <v>510</v>
      </c>
      <c r="AD35" s="4" t="s">
        <v>511</v>
      </c>
      <c r="AE35" s="4">
        <v>101</v>
      </c>
      <c r="AF35" s="4" t="s">
        <v>512</v>
      </c>
      <c r="AG35" s="4" t="s">
        <v>513</v>
      </c>
      <c r="AH35" s="4">
        <v>43</v>
      </c>
      <c r="AI35" s="5">
        <v>6</v>
      </c>
      <c r="AJ35" s="5" t="s">
        <v>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</dc:creator>
  <cp:lastModifiedBy>PR</cp:lastModifiedBy>
  <dcterms:created xsi:type="dcterms:W3CDTF">2023-08-01T16:22:51Z</dcterms:created>
  <dcterms:modified xsi:type="dcterms:W3CDTF">2023-08-01T16:23:41Z</dcterms:modified>
</cp:coreProperties>
</file>